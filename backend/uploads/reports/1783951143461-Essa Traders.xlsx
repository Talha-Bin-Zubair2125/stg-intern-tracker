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000934A-3A04-4C3E-9B4C-E636347E91B5}" xr6:coauthVersionLast="47" xr6:coauthVersionMax="47" xr10:uidLastSave="{00000000-0000-0000-0000-000000000000}"/>
  <bookViews>
    <workbookView xWindow="-120" yWindow="-120" windowWidth="29040" windowHeight="15840" activeTab="2" xr2:uid="{CF4AD78E-0825-4020-81D5-80DF655D626D}"/>
  </bookViews>
  <sheets>
    <sheet name="Umair" sheetId="1" r:id="rId1"/>
    <sheet name="Atif" sheetId="2" r:id="rId2"/>
    <sheet name="NJ Nutraceuticals Purchases" sheetId="3" r:id="rId3"/>
    <sheet name="Data Distributor" sheetId="4" r:id="rId4"/>
    <sheet name="Hassan Enterpris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2" i="3" l="1"/>
  <c r="D84" i="5"/>
  <c r="C84" i="5"/>
  <c r="Q31" i="2"/>
  <c r="E258" i="3"/>
  <c r="I32" i="2"/>
  <c r="I30" i="2"/>
  <c r="I29" i="2"/>
  <c r="R27" i="2"/>
  <c r="H25" i="2"/>
  <c r="O25" i="2"/>
  <c r="N25" i="2"/>
  <c r="L25" i="2"/>
  <c r="Q27" i="2"/>
  <c r="Q25" i="2"/>
  <c r="Q24" i="2"/>
  <c r="Q22" i="2"/>
  <c r="Q20" i="2"/>
  <c r="N24" i="1"/>
  <c r="L24" i="1"/>
  <c r="K24" i="1"/>
  <c r="J24" i="1"/>
  <c r="I24" i="1"/>
  <c r="O24" i="2"/>
  <c r="N24" i="2"/>
  <c r="L24" i="2"/>
  <c r="K24" i="2"/>
  <c r="J24" i="2"/>
  <c r="I24" i="2"/>
  <c r="O22" i="2"/>
  <c r="N22" i="2"/>
  <c r="L22" i="2"/>
  <c r="K22" i="2"/>
  <c r="J22" i="2"/>
  <c r="I22" i="2"/>
  <c r="O20" i="2"/>
  <c r="N20" i="2"/>
  <c r="L20" i="2"/>
  <c r="K20" i="2"/>
  <c r="J20" i="2"/>
  <c r="I20" i="2"/>
  <c r="C258" i="3"/>
  <c r="D258" i="3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3" i="4"/>
  <c r="E4" i="4"/>
  <c r="E5" i="4" s="1"/>
  <c r="E6" i="4" s="1"/>
  <c r="E7" i="4" s="1"/>
  <c r="E8" i="4" s="1"/>
  <c r="C30" i="4"/>
  <c r="D30" i="4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E29" i="2"/>
  <c r="D29" i="2"/>
  <c r="C29" i="2"/>
  <c r="F2" i="1"/>
  <c r="F3" i="1" s="1"/>
  <c r="F4" i="1" s="1"/>
  <c r="F5" i="1" s="1"/>
  <c r="F6" i="1" s="1"/>
  <c r="F7" i="1" s="1"/>
  <c r="F8" i="1" s="1"/>
  <c r="F9" i="1" s="1"/>
  <c r="E30" i="1"/>
  <c r="D30" i="1"/>
  <c r="C30" i="1"/>
  <c r="F2" i="2"/>
  <c r="F3" i="2" s="1"/>
  <c r="F4" i="2" s="1"/>
  <c r="F5" i="2" s="1"/>
  <c r="F6" i="2" s="1"/>
  <c r="E30" i="4" l="1"/>
  <c r="E84" i="5"/>
  <c r="F258" i="3"/>
  <c r="F11" i="1"/>
  <c r="F12" i="1" s="1"/>
  <c r="F10" i="1"/>
  <c r="F30" i="1"/>
  <c r="F14" i="1" l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</calcChain>
</file>

<file path=xl/sharedStrings.xml><?xml version="1.0" encoding="utf-8"?>
<sst xmlns="http://schemas.openxmlformats.org/spreadsheetml/2006/main" count="518" uniqueCount="388">
  <si>
    <t>Umair</t>
  </si>
  <si>
    <t>Atif</t>
  </si>
  <si>
    <t>Cash Out</t>
  </si>
  <si>
    <t>Date</t>
  </si>
  <si>
    <t>Cash In</t>
  </si>
  <si>
    <t>Description</t>
  </si>
  <si>
    <t>Balance</t>
  </si>
  <si>
    <t>Rizwa Project</t>
  </si>
  <si>
    <t>Visiting Card Expense</t>
  </si>
  <si>
    <t>Expenses</t>
  </si>
  <si>
    <t>Total</t>
  </si>
  <si>
    <t>Rizwan Project</t>
  </si>
  <si>
    <t>Debit Card fee</t>
  </si>
  <si>
    <t>Registration fee</t>
  </si>
  <si>
    <t>Transfer to NJ Nutraceuticals (Meezan Bank)</t>
  </si>
  <si>
    <t>Received from Umair Head</t>
  </si>
  <si>
    <t>Stock Dispatched to Data Dist vide INV# 0019527</t>
  </si>
  <si>
    <t>Credit</t>
  </si>
  <si>
    <t>Debit</t>
  </si>
  <si>
    <t>Discription</t>
  </si>
  <si>
    <r>
      <rPr>
        <b/>
        <u/>
        <sz val="16"/>
        <color theme="1"/>
        <rFont val="Calibri"/>
        <family val="2"/>
        <scheme val="minor"/>
      </rPr>
      <t>Nutro Jenix Nutraceuticals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u/>
        <sz val="16"/>
        <color theme="1"/>
        <rFont val="Calibri"/>
        <family val="2"/>
        <scheme val="minor"/>
      </rPr>
      <t>Data Distributor Chakwal Ledger</t>
    </r>
    <r>
      <rPr>
        <b/>
        <sz val="16"/>
        <color theme="1"/>
        <rFont val="Calibri"/>
        <family val="2"/>
        <scheme val="minor"/>
      </rPr>
      <t xml:space="preserve">
</t>
    </r>
  </si>
  <si>
    <r>
      <rPr>
        <b/>
        <u/>
        <sz val="16"/>
        <color theme="1"/>
        <rFont val="Calibri"/>
        <family val="2"/>
        <scheme val="minor"/>
      </rPr>
      <t>Nutro Jenix Nutraceuticals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u/>
        <sz val="16"/>
        <color theme="1"/>
        <rFont val="Calibri"/>
        <family val="2"/>
        <scheme val="minor"/>
      </rPr>
      <t>Hassan Enterprises Rwp Ledger</t>
    </r>
    <r>
      <rPr>
        <b/>
        <sz val="16"/>
        <color theme="1"/>
        <rFont val="Calibri"/>
        <family val="2"/>
        <scheme val="minor"/>
      </rPr>
      <t xml:space="preserve">
</t>
    </r>
  </si>
  <si>
    <t>demanded 200000 by jahanzaib sb 100000 transferred from Atif and 100000 from Marrie</t>
  </si>
  <si>
    <t>Stock Dispatched to Data Dist vide INV# 0019596</t>
  </si>
  <si>
    <t>Stock Dispatched to Hassat ent vide INV# 0019526</t>
  </si>
  <si>
    <t>Stock Dispatched to Hassan ent vide INV# 0019595</t>
  </si>
  <si>
    <t>cookies for Dr.imran</t>
  </si>
  <si>
    <t>transferred to jahanzaib sb C/O Rizwan 195000 (29-11-2024)</t>
  </si>
  <si>
    <t>Jahanzaib (fayyaz acc)</t>
  </si>
  <si>
    <t>Jahanzaib (zeeshan Basharat)</t>
  </si>
  <si>
    <t>jahanzaib (bhatti home &amp; int)</t>
  </si>
  <si>
    <t>jahanzaib (zeeshan Basharat)</t>
  </si>
  <si>
    <t>Jahanzaib sb (Fayyaz acc)</t>
  </si>
  <si>
    <t>jahanzaib sb (jahanzaib record Bhatti int)</t>
  </si>
  <si>
    <t>cookies for Dr.farhat Abbas</t>
  </si>
  <si>
    <t>umair cash received</t>
  </si>
  <si>
    <t>cash received from umair head</t>
  </si>
  <si>
    <t>stock dispatched to hassan Ent inv# 0019652</t>
  </si>
  <si>
    <r>
      <t>stock handed over to hassan ent inv#22818</t>
    </r>
    <r>
      <rPr>
        <b/>
        <sz val="11"/>
        <color theme="1"/>
        <rFont val="Calibri"/>
        <family val="2"/>
        <scheme val="minor"/>
      </rPr>
      <t>(Notion)</t>
    </r>
  </si>
  <si>
    <t>petrol expense</t>
  </si>
  <si>
    <t>Bykea payment for medivox</t>
  </si>
  <si>
    <t>Traveling Expense</t>
  </si>
  <si>
    <t>personal Expense</t>
  </si>
  <si>
    <t>purchase from medivox inv# 0019649</t>
  </si>
  <si>
    <t>Purchase from Suanz pharma(Notion) inv# 23098</t>
  </si>
  <si>
    <t>Purchase from medivox for Samples inv# 0019598</t>
  </si>
  <si>
    <t>Purchase from Medivox Stock inv# 0019597</t>
  </si>
  <si>
    <t>purchase for Sample(3 Notion) inv# 22818</t>
  </si>
  <si>
    <t>Purchase from Suanz pharma(Notion) inv# 22818</t>
  </si>
  <si>
    <t>Purchase from Medivox Rawat inv# 0019525</t>
  </si>
  <si>
    <t>Dr. shabana Doltala (Dr. investment)</t>
  </si>
  <si>
    <t>Dr. Farhat Abbas (Dr. investment)</t>
  </si>
  <si>
    <t>purchase from medivox inv# 0019748</t>
  </si>
  <si>
    <r>
      <t>stock dispatched to hassan Ent inv</t>
    </r>
    <r>
      <rPr>
        <i/>
        <sz val="11"/>
        <color theme="1"/>
        <rFont val="Calibri"/>
        <family val="2"/>
        <scheme val="minor"/>
      </rPr>
      <t># 0019749</t>
    </r>
  </si>
  <si>
    <t>printing for jahanzaib Bills letter head</t>
  </si>
  <si>
    <t>cookies for Talagang</t>
  </si>
  <si>
    <t>Dr. Shaziz Balkasasr (Ikram)</t>
  </si>
  <si>
    <t>petrol expense+Toll+lunch</t>
  </si>
  <si>
    <t>Peanuts</t>
  </si>
  <si>
    <t>cookies for Attock</t>
  </si>
  <si>
    <t>printing Cards+letter head</t>
  </si>
  <si>
    <t>purchase for Sample medivox inv#0019840</t>
  </si>
  <si>
    <t>stock dispatched to hassan Ent inv#0019876</t>
  </si>
  <si>
    <t>purchase from medivox inv#0019870</t>
  </si>
  <si>
    <t>Stock dispatched to hassan Ent inv#2959--(Oasis Cavlon)</t>
  </si>
  <si>
    <t>personal for Ufone Card</t>
  </si>
  <si>
    <t>Touring Expense doltala+Mulhal</t>
  </si>
  <si>
    <t>purchase from Oasis pharma (89 cavlon 1400 retail)</t>
  </si>
  <si>
    <t>waseem D.warson Talagang</t>
  </si>
  <si>
    <t>Touring expense Talagang</t>
  </si>
  <si>
    <t>petrol expense+crunch (Taxila+Attock)</t>
  </si>
  <si>
    <t>Touring Expense (Taxila+Attock)</t>
  </si>
  <si>
    <t>personal Expense+Train Ticket</t>
  </si>
  <si>
    <t>stock dispatched to Data Dist vide inv# 2965</t>
  </si>
  <si>
    <t>stock dispatched to hassan Ent inv#2966--(oasis Cavlon)</t>
  </si>
  <si>
    <t>Payment received</t>
  </si>
  <si>
    <t>Personal expense</t>
  </si>
  <si>
    <t>Payment Received Data Dist Chakwal</t>
  </si>
  <si>
    <t>Paymenty received Hassan Ent RWP</t>
  </si>
  <si>
    <t>Purchase from Suanz pharma Notion 48 packs</t>
  </si>
  <si>
    <t>purchase from Suanz pharma Notion 35 packs</t>
  </si>
  <si>
    <t>Dr. Saleem Qureshi</t>
  </si>
  <si>
    <t>kashmir pharmacy Zaheer sb</t>
  </si>
  <si>
    <t>Dr. faisal Gaffar----Attock</t>
  </si>
  <si>
    <t>Dr. Muazzam Shahzad-----Mega Mall</t>
  </si>
  <si>
    <t>ALLAH Wala Galla----ALHAMDULLIAH</t>
  </si>
  <si>
    <t>discount Claims month December 2024</t>
  </si>
  <si>
    <t>Zubair Salary</t>
  </si>
  <si>
    <t>Dr.Farhat Abbas Cookies</t>
  </si>
  <si>
    <t>Dr. Irfan qayyum</t>
  </si>
  <si>
    <t>purchase from Oasis pharma Cavlon</t>
  </si>
  <si>
    <t>purchase from Oasis pharma (Cavlon 900 Retail)</t>
  </si>
  <si>
    <t>Dr. Shabana Doltala Cookies (Dr. investment)</t>
  </si>
  <si>
    <t>personal</t>
  </si>
  <si>
    <t>Dr. Faisal Gaffar----Attock Cookies</t>
  </si>
  <si>
    <t>Personal</t>
  </si>
  <si>
    <t>payment received</t>
  </si>
  <si>
    <t>claims for december</t>
  </si>
  <si>
    <t>stock return to Principle</t>
  </si>
  <si>
    <t>payment received hassan Ent</t>
  </si>
  <si>
    <t>Dr. Faisal Gaffar Pizza</t>
  </si>
  <si>
    <t>Amash Ali Fee</t>
  </si>
  <si>
    <t>paid to Mr. Mansoor Hassan Ent SalaesMAN</t>
  </si>
  <si>
    <t>Purchase from Suanz Pharma</t>
  </si>
  <si>
    <t>payment Received Hassan Ent</t>
  </si>
  <si>
    <t>paid to Mr. Ahsan Advocate monthly GST fee(nov-Dec)</t>
  </si>
  <si>
    <t xml:space="preserve">Payment received Hassan ent </t>
  </si>
  <si>
    <t>zubair Salary</t>
  </si>
  <si>
    <t>Talha Fee</t>
  </si>
  <si>
    <t>Dr. imran I-8</t>
  </si>
  <si>
    <t>claims December</t>
  </si>
  <si>
    <t>claims January</t>
  </si>
  <si>
    <t>claims February</t>
  </si>
  <si>
    <t>Stock Purchased</t>
  </si>
  <si>
    <t>received</t>
  </si>
  <si>
    <t xml:space="preserve">received </t>
  </si>
  <si>
    <t>I.T</t>
  </si>
  <si>
    <t>Gross Amount</t>
  </si>
  <si>
    <t>Income Tax</t>
  </si>
  <si>
    <t>GST</t>
  </si>
  <si>
    <t>GST Withheld</t>
  </si>
  <si>
    <t>Net Amount</t>
  </si>
  <si>
    <t>IT to be deposited</t>
  </si>
  <si>
    <t>GST to be deposited</t>
  </si>
  <si>
    <t>Income tax</t>
  </si>
  <si>
    <t>GST Total</t>
  </si>
  <si>
    <t>Income tax to be deposited</t>
  </si>
  <si>
    <t>*</t>
  </si>
  <si>
    <t>wrong</t>
  </si>
  <si>
    <t>stock dispatched to hassan Ent….(Oasis Cavlon 220 packs)</t>
  </si>
  <si>
    <t>stock Dispatched to Hassan Ent(Data Dist Chk)</t>
  </si>
  <si>
    <t>stock dispatched to Hassan ent/Data Dist(Data Dist Chk)</t>
  </si>
  <si>
    <t>wrong entry C/O (inv#2966 Cavlon)</t>
  </si>
  <si>
    <t>Agpr Head</t>
  </si>
  <si>
    <t>Paid Zaheer sb Kashmir pharmacy</t>
  </si>
  <si>
    <t>Gala</t>
  </si>
  <si>
    <t>Actual Bill</t>
  </si>
  <si>
    <t>profit</t>
  </si>
  <si>
    <t>Paid to Atif 19/03/25</t>
  </si>
  <si>
    <t>balance in account(Faysal)</t>
  </si>
  <si>
    <t>ALLAH Wala Galla</t>
  </si>
  <si>
    <t>Approx 4.5% AGPR</t>
  </si>
  <si>
    <t>Remaining</t>
  </si>
  <si>
    <t>Atif Investment</t>
  </si>
  <si>
    <t>Profit on Investment</t>
  </si>
  <si>
    <t xml:space="preserve">Total to be paid </t>
  </si>
  <si>
    <t>Paid on 19-03-2025</t>
  </si>
  <si>
    <t>Remaining to be paid</t>
  </si>
  <si>
    <t xml:space="preserve">Transferred to NJ </t>
  </si>
  <si>
    <t>Bank Balance (Kashif)</t>
  </si>
  <si>
    <t>Received from Atif A/c</t>
  </si>
  <si>
    <t>Stock Dispatched to Hassan ENT(Notion 8+Hisan 6)</t>
  </si>
  <si>
    <t>removed</t>
  </si>
  <si>
    <t>Stock Dispatched to Hassan Tresmen (40 Packs)</t>
  </si>
  <si>
    <t xml:space="preserve">Stock Purchased(Notion 8, Hisan 6) </t>
  </si>
  <si>
    <t>Stock Purchased (Tresmen 40 packs)</t>
  </si>
  <si>
    <t>paid Zaheer sb Kashmir pharmacy(Against Mar)</t>
  </si>
  <si>
    <t>paid Temu</t>
  </si>
  <si>
    <t>Dr. Faisal Gaffar</t>
  </si>
  <si>
    <r>
      <rPr>
        <b/>
        <sz val="11"/>
        <color theme="9" tint="-0.499984740745262"/>
        <rFont val="Calibri"/>
        <family val="2"/>
        <scheme val="minor"/>
      </rPr>
      <t>stock purchased(Notion 48, 1Carton)</t>
    </r>
    <r>
      <rPr>
        <sz val="11"/>
        <color theme="9" tint="-0.499984740745262"/>
        <rFont val="Calibri"/>
        <family val="2"/>
        <scheme val="minor"/>
      </rPr>
      <t xml:space="preserve"> </t>
    </r>
  </si>
  <si>
    <t>Paid Zaheer sb(Against April)</t>
  </si>
  <si>
    <t>Payment Received Hassan Ent(March+April)</t>
  </si>
  <si>
    <t>claims March</t>
  </si>
  <si>
    <t>Claims April</t>
  </si>
  <si>
    <t>Stock Disparched to hassan ENT(Notion 48 Packs)</t>
  </si>
  <si>
    <t>qurbani Head personal</t>
  </si>
  <si>
    <t>Stock Purchased (Notion 48 Packs)</t>
  </si>
  <si>
    <t>paid Zaheer sb Kashmir pharmacy</t>
  </si>
  <si>
    <t>payment received Hassan Ent May</t>
  </si>
  <si>
    <t>Bykea payment for Saleem qureshi</t>
  </si>
  <si>
    <t>Peresonal Head Zubair</t>
  </si>
  <si>
    <t>Payment Received</t>
  </si>
  <si>
    <t>stock dispatched to Hassan Ent (100 Tresmen)</t>
  </si>
  <si>
    <t>Purchase Return 0004459</t>
  </si>
  <si>
    <t>Stock Dispatched to Hassan Ent (48 Notion)</t>
  </si>
  <si>
    <t>stock Purchased (50 Hisan)</t>
  </si>
  <si>
    <t>Stock Purchase (50 Tresmen)</t>
  </si>
  <si>
    <t>Personal (rabia and Bacha Party)</t>
  </si>
  <si>
    <t>Perfumes+Kashif sb</t>
  </si>
  <si>
    <t>Stock Dispatched (50Hisan)</t>
  </si>
  <si>
    <t>Stock Dispatched to Hassan Ent (120 Hisan)</t>
  </si>
  <si>
    <t>Dr. faisal</t>
  </si>
  <si>
    <r>
      <t xml:space="preserve">stock dispatched to Hassan ent vide INV#23098 </t>
    </r>
    <r>
      <rPr>
        <b/>
        <sz val="11"/>
        <color theme="1"/>
        <rFont val="Calibri"/>
        <family val="2"/>
        <scheme val="minor"/>
      </rPr>
      <t>(Notion)</t>
    </r>
    <r>
      <rPr>
        <sz val="11"/>
        <color theme="1"/>
        <rFont val="Calibri"/>
        <family val="2"/>
        <scheme val="minor"/>
      </rPr>
      <t>50</t>
    </r>
  </si>
  <si>
    <t>stock dispatched to hassan Ent inv# 24137(Notion)35</t>
  </si>
  <si>
    <t>stock dispatched to hassan ent inv# 24673 (Notion)48</t>
  </si>
  <si>
    <t>stock dispatched to Hassan ent Notion 48</t>
  </si>
  <si>
    <t>claims May</t>
  </si>
  <si>
    <t>Claims June</t>
  </si>
  <si>
    <t>Allah Walla Galla….ALHAMDULILLAH</t>
  </si>
  <si>
    <t>Paid Zaheer sb June Sales</t>
  </si>
  <si>
    <t>personal head</t>
  </si>
  <si>
    <t>Momina Fee</t>
  </si>
  <si>
    <t>Dr. Faisal Gaffar (Pizza+Tour)</t>
  </si>
  <si>
    <t xml:space="preserve"> stock purchased (50 Tresmen) </t>
  </si>
  <si>
    <t>utility Bills</t>
  </si>
  <si>
    <t>Amma Loan Clear</t>
  </si>
  <si>
    <t>Talha Fee PNY</t>
  </si>
  <si>
    <t>Talha PNY fee</t>
  </si>
  <si>
    <t>Claims July</t>
  </si>
  <si>
    <t>Elec+Gas Bill</t>
  </si>
  <si>
    <t>Commette Rizwan c/o Sunny</t>
  </si>
  <si>
    <t>Abba G</t>
  </si>
  <si>
    <t>Zaheer Sb kashmir pharmacy</t>
  </si>
  <si>
    <t>stock purchased(51 Tresmen)</t>
  </si>
  <si>
    <t>Dr. faisal Gaffar Pizza</t>
  </si>
  <si>
    <t>Sgd  Tour</t>
  </si>
  <si>
    <t>Stock Purchased (30 Notion)</t>
  </si>
  <si>
    <t>Stock Purchased (50 Tresmen)</t>
  </si>
  <si>
    <t>Stock Dispatched to Hassan Ent (30 Notion)</t>
  </si>
  <si>
    <t>stock Dispatched  to Hassan (50 Tresmen)</t>
  </si>
  <si>
    <t>stock Dispatched to Hassan Ent (Mv-Prime 100)</t>
  </si>
  <si>
    <t>dr.faisalGaffar</t>
  </si>
  <si>
    <t>Talha+Zubair</t>
  </si>
  <si>
    <t>Claims Aug</t>
  </si>
  <si>
    <t>paid on 20-08-25</t>
  </si>
  <si>
    <t>remaining to be paid</t>
  </si>
  <si>
    <t>payment received Aug</t>
  </si>
  <si>
    <t>Diff 10665</t>
  </si>
  <si>
    <t>Claim Jan</t>
  </si>
  <si>
    <t>stock return to Oasis Pharma Cavlon 172+Hassan Ent</t>
  </si>
  <si>
    <t>Stock Return</t>
  </si>
  <si>
    <t>Stock Return (not received)</t>
  </si>
  <si>
    <t>Dr. faisal gaffar</t>
  </si>
  <si>
    <t>Rabia</t>
  </si>
  <si>
    <t>cash in hand</t>
  </si>
  <si>
    <t>kashif act head</t>
  </si>
  <si>
    <t>total</t>
  </si>
  <si>
    <t>Ata</t>
  </si>
  <si>
    <t>g.total</t>
  </si>
  <si>
    <t>purchase Return(2 tresmen, 1 Notion, 1 Cavlon)</t>
  </si>
  <si>
    <t>Stock Dispatched (48 Notion)</t>
  </si>
  <si>
    <t>Masjid head</t>
  </si>
  <si>
    <t>balance</t>
  </si>
  <si>
    <t>Claims Sep</t>
  </si>
  <si>
    <t>stock Dispatched (70 TRESMEN)</t>
  </si>
  <si>
    <t>Zaheer Sb kashmir pharmacy sep clear</t>
  </si>
  <si>
    <t>misbah Niazi</t>
  </si>
  <si>
    <t>mr Zaheer</t>
  </si>
  <si>
    <t>received Misbah</t>
  </si>
  <si>
    <t>Total Aug</t>
  </si>
  <si>
    <t>nimra Head Misbah Niazi</t>
  </si>
  <si>
    <t>Exp</t>
  </si>
  <si>
    <t>Received Misbah Niazi</t>
  </si>
  <si>
    <t>Expense</t>
  </si>
  <si>
    <t>Biek Documents</t>
  </si>
  <si>
    <t>Medivox My-Prime+Shelac</t>
  </si>
  <si>
    <t>Oasis Pharma Tresmen 70 Packs</t>
  </si>
  <si>
    <t>Abdullah Fee</t>
  </si>
  <si>
    <t>Bike Purchased For Ali</t>
  </si>
  <si>
    <t>passports Rabia+Zubair</t>
  </si>
  <si>
    <t>Talha Computer Chair+Table</t>
  </si>
  <si>
    <t>talha Chair</t>
  </si>
  <si>
    <t>personal( Taken personal 10000+Sidra 20000)</t>
  </si>
  <si>
    <t>Amma G Loan</t>
  </si>
  <si>
    <t>Amma Loan</t>
  </si>
  <si>
    <t>Balanve</t>
  </si>
  <si>
    <t>Faisal Gaffar Pizza+Touring</t>
  </si>
  <si>
    <t>Food For Lahore</t>
  </si>
  <si>
    <t>Zaheer sb Kashmir Pharmacy</t>
  </si>
  <si>
    <t>Bacha Party Cloths</t>
  </si>
  <si>
    <t>phone Bill</t>
  </si>
  <si>
    <t>dr.Faisal Cake</t>
  </si>
  <si>
    <t>Abdullah Transfer</t>
  </si>
  <si>
    <t>Stock Dispatched to Hassan Ent(48 Notion))</t>
  </si>
  <si>
    <t>Suanz Pharma(48 Notion))</t>
  </si>
  <si>
    <t>Payment Received Nov</t>
  </si>
  <si>
    <t>Zaheer sb KASHMIR Pharmacy</t>
  </si>
  <si>
    <t>Mr. Zeeshan Shaheen</t>
  </si>
  <si>
    <t>Amash Ali Bike+H,met</t>
  </si>
  <si>
    <t>Dr. Faisal</t>
  </si>
  <si>
    <r>
      <t xml:space="preserve">payment Received </t>
    </r>
    <r>
      <rPr>
        <b/>
        <sz val="11"/>
        <color theme="1"/>
        <rFont val="Calibri"/>
        <family val="2"/>
        <scheme val="minor"/>
      </rPr>
      <t>Sep</t>
    </r>
  </si>
  <si>
    <r>
      <t xml:space="preserve">Payment Received </t>
    </r>
    <r>
      <rPr>
        <b/>
        <sz val="11"/>
        <color theme="1"/>
        <rFont val="Calibri"/>
        <family val="2"/>
        <scheme val="minor"/>
      </rPr>
      <t>Oct 25</t>
    </r>
  </si>
  <si>
    <r>
      <rPr>
        <sz val="11"/>
        <color theme="1"/>
        <rFont val="Calibri"/>
        <family val="2"/>
        <scheme val="minor"/>
      </rPr>
      <t xml:space="preserve">Payment Received </t>
    </r>
    <r>
      <rPr>
        <b/>
        <sz val="11"/>
        <color theme="1"/>
        <rFont val="Calibri"/>
        <family val="2"/>
        <scheme val="minor"/>
      </rPr>
      <t>NOV25</t>
    </r>
  </si>
  <si>
    <t>Momina Admission</t>
  </si>
  <si>
    <t>Mis Rabia</t>
  </si>
  <si>
    <t>Home Expenses</t>
  </si>
  <si>
    <t>Abdullah</t>
  </si>
  <si>
    <t>Personal Head</t>
  </si>
  <si>
    <t>stock dispatched to Hassan Ent (100 Hisan))</t>
  </si>
  <si>
    <t>Amounts to Receive from Diff points</t>
  </si>
  <si>
    <t>Atta</t>
  </si>
  <si>
    <t>Conz !0</t>
  </si>
  <si>
    <t>Welltrum</t>
  </si>
  <si>
    <t>received Atta</t>
  </si>
  <si>
    <t>Returned To Riz)</t>
  </si>
  <si>
    <r>
      <rPr>
        <sz val="11"/>
        <color theme="1"/>
        <rFont val="Calibri"/>
        <family val="2"/>
        <scheme val="minor"/>
      </rPr>
      <t xml:space="preserve">Payment Received </t>
    </r>
    <r>
      <rPr>
        <b/>
        <sz val="11"/>
        <color theme="1"/>
        <rFont val="Calibri"/>
        <family val="2"/>
        <scheme val="minor"/>
      </rPr>
      <t>Dec25</t>
    </r>
  </si>
  <si>
    <t>Claims december</t>
  </si>
  <si>
    <t>Family Dinner</t>
  </si>
  <si>
    <t>stock DiSpatched to hassan (26 tresmen)</t>
  </si>
  <si>
    <t>loan Ret to Umair</t>
  </si>
  <si>
    <t>misbah Head</t>
  </si>
  <si>
    <t>Amash Fee</t>
  </si>
  <si>
    <t>Payment Received Dec</t>
  </si>
  <si>
    <t xml:space="preserve">Utility Billa+Mobile </t>
  </si>
  <si>
    <t>Stock Purchased (48 Notion)</t>
  </si>
  <si>
    <t>Dr. Faisal Gafffar</t>
  </si>
  <si>
    <t>Oasis Pharma Tresmen 26 Tresmen</t>
  </si>
  <si>
    <t>Driv Lic Fee</t>
  </si>
  <si>
    <t>Murree Trip+Aliyar</t>
  </si>
  <si>
    <t>Medivox HISSAN 100</t>
  </si>
  <si>
    <t>Oasis Pharma (Tresmen 56 Packs)</t>
  </si>
  <si>
    <t>Zaheer sb Kahmir pharmacy DEC</t>
  </si>
  <si>
    <t>Rabia Lahore</t>
  </si>
  <si>
    <t>Payment Received Hassan Ent Aug</t>
  </si>
  <si>
    <t>Payment received July</t>
  </si>
  <si>
    <t>Payment received Hassan Ent June</t>
  </si>
  <si>
    <t>Payment Received Hassan Ent Sep</t>
  </si>
  <si>
    <t>Payment received Oct</t>
  </si>
  <si>
    <t>Payment Received Jan26</t>
  </si>
  <si>
    <t>Utility Bills</t>
  </si>
  <si>
    <t>Payment Received Jan</t>
  </si>
  <si>
    <t>Stock Return (Hisan 28 Packs)</t>
  </si>
  <si>
    <t>Car Maintanence</t>
  </si>
  <si>
    <t>Momina College Fee</t>
  </si>
  <si>
    <t>Rabia Loan</t>
  </si>
  <si>
    <t>Personal+Rabia kharcha</t>
  </si>
  <si>
    <t>Stock Dispatched to Hassan Ent(120 Tresmen)</t>
  </si>
  <si>
    <t>Stock Dispatched to Hassan Ent(220 Cavlon)</t>
  </si>
  <si>
    <t>Stock Return (Cavlon 3, Tresmen 61))</t>
  </si>
  <si>
    <t>Stock Purchased 48 Notion)</t>
  </si>
  <si>
    <t>stock Purchased(220 Cavlon)</t>
  </si>
  <si>
    <t>Zaheer sb Kahmir pharmacy Feb</t>
  </si>
  <si>
    <t>Stock Purchased(48 Notion)</t>
  </si>
  <si>
    <t>Stock Dispatched to Hassan Ent(48 Notion)</t>
  </si>
  <si>
    <t>Claims February</t>
  </si>
  <si>
    <t>Tailors Made</t>
  </si>
  <si>
    <t>Payment Received Feb</t>
  </si>
  <si>
    <t>Fitrana etc</t>
  </si>
  <si>
    <t xml:space="preserve">easy Paisa </t>
  </si>
  <si>
    <t>faisal bank</t>
  </si>
  <si>
    <t>Payment Received  Feb</t>
  </si>
  <si>
    <t>cash in Hand</t>
  </si>
  <si>
    <t>Rabia Kharcha</t>
  </si>
  <si>
    <t>Utility Bills+Net</t>
  </si>
  <si>
    <t>Medicine+Perfumes</t>
  </si>
  <si>
    <t>Eidi</t>
  </si>
  <si>
    <t>Stock Purchased(120 Tresmen)</t>
  </si>
  <si>
    <t>37044=30000Rawat+7000Ata)</t>
  </si>
  <si>
    <t>medivox Hisaan Balance Payment</t>
  </si>
  <si>
    <t>(50000</t>
  </si>
  <si>
    <t>Cash Out Nimra</t>
  </si>
  <si>
    <t>caah out Nimra</t>
  </si>
  <si>
    <t>Dr. Faisal Gaffar+Attock</t>
  </si>
  <si>
    <t>loan 4 Petrol</t>
  </si>
  <si>
    <t>Claims March</t>
  </si>
  <si>
    <t>Zahee sb Kashmir Pharmacy</t>
  </si>
  <si>
    <t>Mr. Mansoor</t>
  </si>
  <si>
    <t>Petrol</t>
  </si>
  <si>
    <t>Payment Received March</t>
  </si>
  <si>
    <t>ALLAH Walla Galla….ALHAMDULILLAH</t>
  </si>
  <si>
    <t>Momina</t>
  </si>
  <si>
    <t>Pizza Party+Ali+Zubair</t>
  </si>
  <si>
    <t>Zubair For Stocks</t>
  </si>
  <si>
    <t>Shadi</t>
  </si>
  <si>
    <t>**</t>
  </si>
  <si>
    <t>Paid to Nimra For Armeela</t>
  </si>
  <si>
    <t>Talha for AI</t>
  </si>
  <si>
    <t>Naeem Electronics</t>
  </si>
  <si>
    <t>Personal Petrol</t>
  </si>
  <si>
    <t>Stock Purchased (48 Tresmen)</t>
  </si>
  <si>
    <t>stock purchased (100 Mv-Prime)</t>
  </si>
  <si>
    <t>Zaheer sb Kashmir pharmacy</t>
  </si>
  <si>
    <t>payment Received April 2026</t>
  </si>
  <si>
    <t>faysal bank Riz Head</t>
  </si>
  <si>
    <t>utility bills</t>
  </si>
  <si>
    <t>Abba G loan</t>
  </si>
  <si>
    <t>stock Dispatched to Hassan Ent(100 MV-Prime)</t>
  </si>
  <si>
    <t>Stock Dispatched to Hassan Ent(48 Notiom)</t>
  </si>
  <si>
    <t>Payment Received April26</t>
  </si>
  <si>
    <t>loan return</t>
  </si>
  <si>
    <t>easy Paisa</t>
  </si>
  <si>
    <t>*/**</t>
  </si>
  <si>
    <t>Qurbani Head personal</t>
  </si>
  <si>
    <t>Dr. Faisal Gaffar Piza</t>
  </si>
  <si>
    <t>rec</t>
  </si>
  <si>
    <t>receiced amount Back(*/**)</t>
  </si>
  <si>
    <t>Aatta Head</t>
  </si>
  <si>
    <t>paid to Rizwan ****</t>
  </si>
  <si>
    <t>receive back from Rizwan ****</t>
  </si>
  <si>
    <t>loan Taken</t>
  </si>
  <si>
    <t>Talha Fee Paid</t>
  </si>
  <si>
    <t>dr. Salma</t>
  </si>
  <si>
    <t>dr. armeela</t>
  </si>
  <si>
    <t>details</t>
  </si>
  <si>
    <t>19-06-26</t>
  </si>
  <si>
    <t>Payment received May26</t>
  </si>
  <si>
    <t>Payment Received May 2026</t>
  </si>
  <si>
    <t>Stock Purchased(Notion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</si>
</sst>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[$]dd\-mmm\-yyyy;@" x16r2:formatCode16="[$-en-PK,1]dd\-mmm\-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1" applyFont="1"/>
    <xf numFmtId="165" fontId="0" fillId="0" borderId="0" xfId="1" applyNumberFormat="1" applyFont="1"/>
    <xf numFmtId="0" fontId="0" fillId="0" borderId="1" xfId="0" applyBorder="1"/>
    <xf numFmtId="166" fontId="0" fillId="0" borderId="1" xfId="0" applyNumberFormat="1" applyBorder="1"/>
    <xf numFmtId="165" fontId="0" fillId="0" borderId="1" xfId="1" applyNumberFormat="1" applyFont="1" applyBorder="1"/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6" fontId="2" fillId="0" borderId="1" xfId="0" applyNumberFormat="1" applyFont="1" applyBorder="1"/>
    <xf numFmtId="165" fontId="2" fillId="0" borderId="1" xfId="0" applyNumberFormat="1" applyFont="1" applyBorder="1"/>
    <xf numFmtId="16" fontId="0" fillId="0" borderId="0" xfId="0" applyNumberFormat="1"/>
    <xf numFmtId="165" fontId="0" fillId="2" borderId="1" xfId="1" applyNumberFormat="1" applyFont="1" applyFill="1" applyBorder="1"/>
    <xf numFmtId="165" fontId="2" fillId="2" borderId="1" xfId="1" applyNumberFormat="1" applyFont="1" applyFill="1" applyBorder="1"/>
    <xf numFmtId="165" fontId="2" fillId="0" borderId="1" xfId="1" applyNumberFormat="1" applyFont="1" applyBorder="1"/>
    <xf numFmtId="165" fontId="2" fillId="2" borderId="1" xfId="0" applyNumberFormat="1" applyFont="1" applyFill="1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0" fillId="0" borderId="6" xfId="0" applyFill="1" applyBorder="1"/>
    <xf numFmtId="14" fontId="0" fillId="0" borderId="0" xfId="0" applyNumberFormat="1"/>
    <xf numFmtId="166" fontId="6" fillId="0" borderId="1" xfId="0" applyNumberFormat="1" applyFont="1" applyBorder="1"/>
    <xf numFmtId="0" fontId="6" fillId="0" borderId="1" xfId="0" applyFont="1" applyBorder="1"/>
    <xf numFmtId="165" fontId="6" fillId="0" borderId="1" xfId="1" applyNumberFormat="1" applyFont="1" applyBorder="1"/>
    <xf numFmtId="166" fontId="7" fillId="0" borderId="1" xfId="0" applyNumberFormat="1" applyFont="1" applyBorder="1"/>
    <xf numFmtId="0" fontId="7" fillId="0" borderId="1" xfId="0" applyFont="1" applyBorder="1"/>
    <xf numFmtId="165" fontId="7" fillId="0" borderId="1" xfId="1" applyNumberFormat="1" applyFont="1" applyBorder="1"/>
    <xf numFmtId="166" fontId="8" fillId="0" borderId="1" xfId="0" applyNumberFormat="1" applyFont="1" applyBorder="1"/>
    <xf numFmtId="0" fontId="8" fillId="0" borderId="1" xfId="0" applyFont="1" applyBorder="1"/>
    <xf numFmtId="165" fontId="8" fillId="0" borderId="1" xfId="1" applyNumberFormat="1" applyFont="1" applyBorder="1"/>
    <xf numFmtId="166" fontId="11" fillId="0" borderId="1" xfId="0" applyNumberFormat="1" applyFont="1" applyBorder="1"/>
    <xf numFmtId="0" fontId="10" fillId="0" borderId="1" xfId="0" applyFont="1" applyBorder="1"/>
    <xf numFmtId="166" fontId="9" fillId="0" borderId="1" xfId="0" applyNumberFormat="1" applyFont="1" applyBorder="1"/>
    <xf numFmtId="0" fontId="9" fillId="0" borderId="1" xfId="0" applyFont="1" applyBorder="1"/>
    <xf numFmtId="165" fontId="9" fillId="0" borderId="1" xfId="1" applyNumberFormat="1" applyFont="1" applyBorder="1"/>
    <xf numFmtId="164" fontId="0" fillId="0" borderId="0" xfId="0" applyNumberFormat="1"/>
    <xf numFmtId="164" fontId="0" fillId="2" borderId="0" xfId="1" applyFont="1" applyFill="1"/>
    <xf numFmtId="10" fontId="0" fillId="0" borderId="0" xfId="1" applyNumberFormat="1" applyFont="1"/>
    <xf numFmtId="0" fontId="12" fillId="0" borderId="1" xfId="0" applyFont="1" applyBorder="1"/>
    <xf numFmtId="165" fontId="0" fillId="3" borderId="1" xfId="1" applyNumberFormat="1" applyFont="1" applyFill="1" applyBorder="1"/>
    <xf numFmtId="165" fontId="2" fillId="3" borderId="1" xfId="0" applyNumberFormat="1" applyFont="1" applyFill="1" applyBorder="1"/>
    <xf numFmtId="0" fontId="0" fillId="0" borderId="1" xfId="0" applyFont="1" applyBorder="1"/>
    <xf numFmtId="0" fontId="13" fillId="0" borderId="0" xfId="0" applyFont="1"/>
    <xf numFmtId="0" fontId="6" fillId="0" borderId="0" xfId="0" applyFont="1"/>
    <xf numFmtId="165" fontId="6" fillId="0" borderId="0" xfId="0" applyNumberFormat="1" applyFont="1"/>
    <xf numFmtId="165" fontId="14" fillId="0" borderId="1" xfId="1" applyNumberFormat="1" applyFont="1" applyBorder="1"/>
    <xf numFmtId="0" fontId="15" fillId="0" borderId="0" xfId="0" applyFont="1"/>
    <xf numFmtId="0" fontId="2" fillId="0" borderId="0" xfId="0" applyFont="1"/>
    <xf numFmtId="0" fontId="0" fillId="0" borderId="0" xfId="0" applyFont="1"/>
    <xf numFmtId="165" fontId="12" fillId="0" borderId="1" xfId="1" applyNumberFormat="1" applyFont="1" applyBorder="1"/>
    <xf numFmtId="166" fontId="12" fillId="0" borderId="1" xfId="0" applyNumberFormat="1" applyFont="1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4E38-F463-4576-B2F8-11039A18BAA9}">
  <dimension ref="A1:P32"/>
  <sheetViews>
    <sheetView workbookViewId="0">
      <selection activeCell="O30" sqref="O30"/>
    </sheetView>
  </sheetViews>
  <sheetFormatPr defaultRowHeight="15" x14ac:dyDescent="0.25"/>
  <cols>
    <col min="1" max="1" width="12" bestFit="1" customWidth="1"/>
    <col min="2" max="2" width="42.42578125" bestFit="1" customWidth="1"/>
    <col min="3" max="3" width="12.5703125" customWidth="1"/>
    <col min="4" max="5" width="15.7109375" customWidth="1"/>
    <col min="6" max="6" width="16.7109375" customWidth="1"/>
    <col min="8" max="8" width="15.7109375" customWidth="1"/>
    <col min="9" max="9" width="12.5703125" customWidth="1"/>
    <col min="10" max="10" width="14" customWidth="1"/>
    <col min="11" max="11" width="13.140625" bestFit="1" customWidth="1"/>
    <col min="12" max="12" width="11.85546875" bestFit="1" customWidth="1"/>
    <col min="14" max="14" width="25.7109375" bestFit="1" customWidth="1"/>
    <col min="15" max="15" width="19" bestFit="1" customWidth="1"/>
    <col min="16" max="16" width="11.28515625" customWidth="1"/>
  </cols>
  <sheetData>
    <row r="1" spans="1:14" ht="50.1" customHeight="1" x14ac:dyDescent="0.25">
      <c r="A1" s="7" t="s">
        <v>3</v>
      </c>
      <c r="B1" s="7" t="s">
        <v>5</v>
      </c>
      <c r="C1" s="7" t="s">
        <v>4</v>
      </c>
      <c r="D1" s="7" t="s">
        <v>2</v>
      </c>
      <c r="E1" s="7" t="s">
        <v>9</v>
      </c>
      <c r="F1" s="7" t="s">
        <v>6</v>
      </c>
    </row>
    <row r="2" spans="1:14" x14ac:dyDescent="0.25">
      <c r="A2" s="4">
        <v>45595</v>
      </c>
      <c r="B2" s="5" t="s">
        <v>0</v>
      </c>
      <c r="C2" s="5">
        <v>500000</v>
      </c>
      <c r="D2" s="5"/>
      <c r="E2" s="5"/>
      <c r="F2" s="5">
        <f>+C2-D2-E2</f>
        <v>500000</v>
      </c>
      <c r="G2" s="2"/>
      <c r="H2" s="1"/>
    </row>
    <row r="3" spans="1:14" x14ac:dyDescent="0.25">
      <c r="A3" s="4"/>
      <c r="B3" s="5" t="s">
        <v>0</v>
      </c>
      <c r="C3" s="5">
        <v>370000</v>
      </c>
      <c r="D3" s="5"/>
      <c r="E3" s="5"/>
      <c r="F3" s="5">
        <f>+F2+C3-D3-E3</f>
        <v>870000</v>
      </c>
      <c r="G3" s="2"/>
      <c r="H3" s="1"/>
      <c r="I3" s="2"/>
    </row>
    <row r="4" spans="1:14" x14ac:dyDescent="0.25">
      <c r="A4" s="4"/>
      <c r="B4" s="5" t="s">
        <v>0</v>
      </c>
      <c r="C4" s="5">
        <v>190000</v>
      </c>
      <c r="D4" s="5"/>
      <c r="E4" s="5"/>
      <c r="F4" s="5">
        <f t="shared" ref="F4:F29" si="0">+F3+C4-D4-E4</f>
        <v>1060000</v>
      </c>
      <c r="G4" s="2"/>
    </row>
    <row r="5" spans="1:14" x14ac:dyDescent="0.25">
      <c r="A5" s="4">
        <v>45607</v>
      </c>
      <c r="B5" s="5" t="s">
        <v>7</v>
      </c>
      <c r="C5" s="5"/>
      <c r="D5" s="5">
        <v>180000</v>
      </c>
      <c r="E5" s="5"/>
      <c r="F5" s="5">
        <f t="shared" si="0"/>
        <v>880000</v>
      </c>
      <c r="G5" s="2"/>
    </row>
    <row r="6" spans="1:14" x14ac:dyDescent="0.25">
      <c r="A6" s="4">
        <v>45608</v>
      </c>
      <c r="B6" s="5" t="s">
        <v>8</v>
      </c>
      <c r="C6" s="5"/>
      <c r="D6" s="5"/>
      <c r="E6" s="5">
        <v>2700</v>
      </c>
      <c r="F6" s="5">
        <f t="shared" si="0"/>
        <v>877300</v>
      </c>
      <c r="G6" s="2"/>
    </row>
    <row r="7" spans="1:14" x14ac:dyDescent="0.25">
      <c r="A7" s="4">
        <v>45611</v>
      </c>
      <c r="B7" s="5" t="s">
        <v>11</v>
      </c>
      <c r="C7" s="5"/>
      <c r="D7" s="5">
        <v>120000</v>
      </c>
      <c r="E7" s="5"/>
      <c r="F7" s="5">
        <f t="shared" si="0"/>
        <v>757300</v>
      </c>
      <c r="G7" s="2"/>
    </row>
    <row r="8" spans="1:14" x14ac:dyDescent="0.25">
      <c r="A8" s="4">
        <v>45611</v>
      </c>
      <c r="B8" s="5" t="s">
        <v>12</v>
      </c>
      <c r="C8" s="5"/>
      <c r="D8" s="5"/>
      <c r="E8" s="5">
        <v>3248</v>
      </c>
      <c r="F8" s="5">
        <f t="shared" si="0"/>
        <v>754052</v>
      </c>
      <c r="G8" s="2"/>
    </row>
    <row r="9" spans="1:14" x14ac:dyDescent="0.25">
      <c r="A9" s="4">
        <v>45615</v>
      </c>
      <c r="B9" s="5" t="s">
        <v>11</v>
      </c>
      <c r="C9" s="5"/>
      <c r="D9" s="5">
        <v>160000</v>
      </c>
      <c r="E9" s="5"/>
      <c r="F9" s="5">
        <f t="shared" si="0"/>
        <v>594052</v>
      </c>
      <c r="G9" s="2"/>
      <c r="I9" s="8"/>
    </row>
    <row r="10" spans="1:14" x14ac:dyDescent="0.25">
      <c r="A10" s="4">
        <v>45616</v>
      </c>
      <c r="B10" s="5" t="s">
        <v>13</v>
      </c>
      <c r="C10" s="5"/>
      <c r="D10" s="5"/>
      <c r="E10" s="5">
        <v>32000</v>
      </c>
      <c r="F10" s="5">
        <f t="shared" si="0"/>
        <v>562052</v>
      </c>
    </row>
    <row r="11" spans="1:14" x14ac:dyDescent="0.25">
      <c r="A11" s="4">
        <v>45617</v>
      </c>
      <c r="B11" s="5" t="s">
        <v>14</v>
      </c>
      <c r="C11" s="5"/>
      <c r="D11" s="5">
        <v>250000</v>
      </c>
      <c r="E11" s="5"/>
      <c r="F11" s="5">
        <f>+F9+C11-D11-E11</f>
        <v>344052</v>
      </c>
      <c r="G11" s="2"/>
      <c r="H11" s="8"/>
    </row>
    <row r="12" spans="1:14" x14ac:dyDescent="0.25">
      <c r="A12" s="4">
        <v>45621</v>
      </c>
      <c r="B12" s="5" t="s">
        <v>31</v>
      </c>
      <c r="C12" s="5"/>
      <c r="D12" s="5">
        <v>100000</v>
      </c>
      <c r="E12" s="5"/>
      <c r="F12" s="5">
        <f t="shared" si="0"/>
        <v>244052</v>
      </c>
      <c r="G12" s="2"/>
      <c r="H12" s="50" t="s">
        <v>22</v>
      </c>
      <c r="I12" s="50"/>
      <c r="J12" s="50"/>
      <c r="K12" s="50"/>
      <c r="L12" s="50"/>
      <c r="M12" s="50"/>
      <c r="N12" s="50"/>
    </row>
    <row r="13" spans="1:14" x14ac:dyDescent="0.25">
      <c r="A13" s="4">
        <v>45623</v>
      </c>
      <c r="B13" s="5" t="s">
        <v>33</v>
      </c>
      <c r="C13" s="5"/>
      <c r="D13" s="5">
        <v>100000</v>
      </c>
      <c r="E13" s="5"/>
      <c r="F13" s="5">
        <v>144052</v>
      </c>
      <c r="G13" s="2"/>
      <c r="J13" s="11"/>
    </row>
    <row r="14" spans="1:14" x14ac:dyDescent="0.25">
      <c r="A14" s="4">
        <v>45625</v>
      </c>
      <c r="B14" s="5" t="s">
        <v>32</v>
      </c>
      <c r="C14" s="5"/>
      <c r="D14" s="5">
        <v>100000</v>
      </c>
      <c r="E14" s="5"/>
      <c r="F14" s="5">
        <f>+F13+C14-D14-E14</f>
        <v>44052</v>
      </c>
      <c r="G14" s="2"/>
    </row>
    <row r="15" spans="1:14" x14ac:dyDescent="0.25">
      <c r="A15" s="4">
        <v>45628</v>
      </c>
      <c r="B15" s="5" t="s">
        <v>35</v>
      </c>
      <c r="C15" s="5">
        <v>50000</v>
      </c>
      <c r="D15" s="5"/>
      <c r="E15" s="5"/>
      <c r="F15" s="5">
        <f t="shared" si="0"/>
        <v>94052</v>
      </c>
      <c r="G15" s="2"/>
      <c r="H15" t="s">
        <v>27</v>
      </c>
    </row>
    <row r="16" spans="1:14" x14ac:dyDescent="0.25">
      <c r="A16" s="4">
        <v>45628</v>
      </c>
      <c r="B16" s="5" t="s">
        <v>14</v>
      </c>
      <c r="C16" s="5"/>
      <c r="D16" s="5">
        <v>50000</v>
      </c>
      <c r="E16" s="5"/>
      <c r="F16" s="5">
        <f t="shared" si="0"/>
        <v>44052</v>
      </c>
      <c r="G16" s="2"/>
    </row>
    <row r="17" spans="1:16" x14ac:dyDescent="0.25">
      <c r="A17" s="4">
        <v>45629</v>
      </c>
      <c r="B17" s="5" t="s">
        <v>35</v>
      </c>
      <c r="C17" s="5">
        <v>25000</v>
      </c>
      <c r="D17" s="5"/>
      <c r="E17" s="5"/>
      <c r="F17" s="5">
        <f t="shared" si="0"/>
        <v>69052</v>
      </c>
      <c r="G17" s="2"/>
      <c r="J17" s="1"/>
    </row>
    <row r="18" spans="1:16" x14ac:dyDescent="0.25">
      <c r="A18" s="4">
        <v>45630</v>
      </c>
      <c r="B18" s="5" t="s">
        <v>35</v>
      </c>
      <c r="C18" s="5">
        <v>50000</v>
      </c>
      <c r="D18" s="5"/>
      <c r="E18" s="5"/>
      <c r="F18" s="5">
        <f t="shared" si="0"/>
        <v>119052</v>
      </c>
      <c r="G18" s="2"/>
    </row>
    <row r="19" spans="1:16" x14ac:dyDescent="0.25">
      <c r="A19" s="4">
        <v>45630</v>
      </c>
      <c r="B19" s="5" t="s">
        <v>14</v>
      </c>
      <c r="C19" s="5"/>
      <c r="D19" s="5">
        <v>75000</v>
      </c>
      <c r="E19" s="5"/>
      <c r="F19" s="5">
        <f t="shared" si="0"/>
        <v>44052</v>
      </c>
      <c r="G19" s="2"/>
    </row>
    <row r="20" spans="1:16" x14ac:dyDescent="0.25">
      <c r="A20" s="4">
        <v>45635</v>
      </c>
      <c r="B20" s="5" t="s">
        <v>54</v>
      </c>
      <c r="C20" s="5"/>
      <c r="D20" s="5"/>
      <c r="E20" s="5">
        <v>1000</v>
      </c>
      <c r="F20" s="5">
        <f t="shared" si="0"/>
        <v>43052</v>
      </c>
      <c r="G20" s="2"/>
    </row>
    <row r="21" spans="1:16" x14ac:dyDescent="0.25">
      <c r="A21" s="4">
        <v>45638</v>
      </c>
      <c r="B21" s="5" t="s">
        <v>35</v>
      </c>
      <c r="C21" s="5">
        <v>185000</v>
      </c>
      <c r="D21" s="5"/>
      <c r="E21" s="5"/>
      <c r="F21" s="5">
        <f t="shared" si="0"/>
        <v>228052</v>
      </c>
      <c r="G21" s="2"/>
    </row>
    <row r="22" spans="1:16" x14ac:dyDescent="0.25">
      <c r="A22" s="4">
        <v>45638</v>
      </c>
      <c r="B22" s="5" t="s">
        <v>14</v>
      </c>
      <c r="C22" s="5"/>
      <c r="D22" s="5">
        <v>185000</v>
      </c>
      <c r="E22" s="5"/>
      <c r="F22" s="5">
        <f t="shared" si="0"/>
        <v>43052</v>
      </c>
      <c r="G22" s="2"/>
    </row>
    <row r="23" spans="1:16" x14ac:dyDescent="0.25">
      <c r="A23" s="4">
        <v>45649</v>
      </c>
      <c r="B23" s="3" t="s">
        <v>14</v>
      </c>
      <c r="C23" s="3"/>
      <c r="D23" s="3">
        <v>11052</v>
      </c>
      <c r="E23" s="3"/>
      <c r="F23" s="5">
        <f t="shared" si="0"/>
        <v>32000</v>
      </c>
      <c r="H23" t="s">
        <v>117</v>
      </c>
      <c r="I23" t="s">
        <v>124</v>
      </c>
      <c r="J23" t="s">
        <v>125</v>
      </c>
      <c r="K23" t="s">
        <v>120</v>
      </c>
      <c r="L23" t="s">
        <v>121</v>
      </c>
      <c r="N23" t="s">
        <v>126</v>
      </c>
      <c r="O23" t="s">
        <v>123</v>
      </c>
      <c r="P23" t="s">
        <v>6</v>
      </c>
    </row>
    <row r="24" spans="1:16" x14ac:dyDescent="0.25">
      <c r="A24" s="4"/>
      <c r="B24" s="3"/>
      <c r="C24" s="3"/>
      <c r="D24" s="3"/>
      <c r="E24" s="3"/>
      <c r="F24" s="5">
        <f t="shared" si="0"/>
        <v>32000</v>
      </c>
      <c r="H24" s="1">
        <v>251340</v>
      </c>
      <c r="I24" s="1">
        <f>+H24*5.5/100</f>
        <v>13823.7</v>
      </c>
      <c r="J24" s="1">
        <f>+H24*18/118</f>
        <v>38340</v>
      </c>
      <c r="K24" s="1">
        <f>+J24/5</f>
        <v>7668</v>
      </c>
      <c r="L24" s="1">
        <f>+H24-K24</f>
        <v>243672</v>
      </c>
      <c r="M24" s="1"/>
      <c r="N24" s="1">
        <f>+I24</f>
        <v>13823.7</v>
      </c>
      <c r="O24" s="1">
        <v>30672</v>
      </c>
      <c r="P24" s="1">
        <v>199177</v>
      </c>
    </row>
    <row r="25" spans="1:16" x14ac:dyDescent="0.25">
      <c r="A25" s="4"/>
      <c r="B25" s="3"/>
      <c r="C25" s="3"/>
      <c r="D25" s="3"/>
      <c r="E25" s="3"/>
      <c r="F25" s="5">
        <f t="shared" si="0"/>
        <v>32000</v>
      </c>
      <c r="L25" s="34"/>
    </row>
    <row r="26" spans="1:16" x14ac:dyDescent="0.25">
      <c r="A26" s="4"/>
      <c r="B26" s="3"/>
      <c r="C26" s="3"/>
      <c r="D26" s="3"/>
      <c r="E26" s="3"/>
      <c r="F26" s="5">
        <f t="shared" si="0"/>
        <v>32000</v>
      </c>
    </row>
    <row r="27" spans="1:16" x14ac:dyDescent="0.25">
      <c r="A27" s="4"/>
      <c r="B27" s="3"/>
      <c r="C27" s="3"/>
      <c r="D27" s="3"/>
      <c r="E27" s="3"/>
      <c r="F27" s="5">
        <f t="shared" si="0"/>
        <v>32000</v>
      </c>
    </row>
    <row r="28" spans="1:16" x14ac:dyDescent="0.25">
      <c r="A28" s="4"/>
      <c r="B28" s="3"/>
      <c r="C28" s="3"/>
      <c r="D28" s="3"/>
      <c r="E28" s="3"/>
      <c r="F28" s="5">
        <f t="shared" si="0"/>
        <v>32000</v>
      </c>
      <c r="N28" t="s">
        <v>133</v>
      </c>
      <c r="O28" s="1">
        <v>4000</v>
      </c>
    </row>
    <row r="29" spans="1:16" x14ac:dyDescent="0.25">
      <c r="A29" s="4"/>
      <c r="B29" s="3"/>
      <c r="C29" s="3"/>
      <c r="D29" s="3"/>
      <c r="E29" s="3"/>
      <c r="F29" s="12">
        <f t="shared" si="0"/>
        <v>32000</v>
      </c>
      <c r="N29" t="s">
        <v>135</v>
      </c>
      <c r="O29" s="1">
        <v>4000</v>
      </c>
    </row>
    <row r="30" spans="1:16" x14ac:dyDescent="0.25">
      <c r="A30" s="9" t="s">
        <v>10</v>
      </c>
      <c r="B30" s="6"/>
      <c r="C30" s="10">
        <f>SUM(C2:C29)</f>
        <v>1370000</v>
      </c>
      <c r="D30" s="10">
        <f t="shared" ref="D30:E30" si="1">SUM(D2:D29)</f>
        <v>1331052</v>
      </c>
      <c r="E30" s="10">
        <f t="shared" si="1"/>
        <v>38948</v>
      </c>
      <c r="F30" s="13">
        <f>+C30-D30-E30</f>
        <v>0</v>
      </c>
      <c r="N30" t="s">
        <v>139</v>
      </c>
      <c r="O30" s="1">
        <v>4000</v>
      </c>
    </row>
    <row r="31" spans="1:16" x14ac:dyDescent="0.25">
      <c r="N31" t="s">
        <v>136</v>
      </c>
      <c r="O31" s="1">
        <v>160000</v>
      </c>
    </row>
    <row r="32" spans="1:16" x14ac:dyDescent="0.25">
      <c r="N32" t="s">
        <v>137</v>
      </c>
      <c r="O32" s="1">
        <v>31177</v>
      </c>
    </row>
  </sheetData>
  <mergeCells count="1">
    <mergeCell ref="H12:N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AC24-FD5B-4719-8D0C-C5CC96842AB6}">
  <dimension ref="A1:S35"/>
  <sheetViews>
    <sheetView topLeftCell="B1" workbookViewId="0">
      <selection activeCell="L33" sqref="L33"/>
    </sheetView>
  </sheetViews>
  <sheetFormatPr defaultRowHeight="15" x14ac:dyDescent="0.25"/>
  <cols>
    <col min="1" max="1" width="12" bestFit="1" customWidth="1"/>
    <col min="2" max="2" width="35.85546875" customWidth="1"/>
    <col min="3" max="3" width="11.5703125" customWidth="1"/>
    <col min="4" max="4" width="11.7109375" customWidth="1"/>
    <col min="5" max="5" width="11.140625" customWidth="1"/>
    <col min="6" max="6" width="10.5703125" bestFit="1" customWidth="1"/>
    <col min="8" max="8" width="18.7109375" customWidth="1"/>
    <col min="9" max="9" width="15.42578125" customWidth="1"/>
    <col min="10" max="10" width="14" customWidth="1"/>
    <col min="11" max="11" width="15.85546875" customWidth="1"/>
    <col min="12" max="12" width="19.28515625" customWidth="1"/>
    <col min="14" max="14" width="17.28515625" bestFit="1" customWidth="1"/>
    <col min="15" max="15" width="19" bestFit="1" customWidth="1"/>
    <col min="17" max="19" width="11.5703125" bestFit="1" customWidth="1"/>
  </cols>
  <sheetData>
    <row r="1" spans="1:11" x14ac:dyDescent="0.25">
      <c r="A1" s="7" t="s">
        <v>3</v>
      </c>
      <c r="B1" s="7" t="s">
        <v>5</v>
      </c>
      <c r="C1" s="7" t="s">
        <v>4</v>
      </c>
      <c r="D1" s="7" t="s">
        <v>2</v>
      </c>
      <c r="E1" s="7" t="s">
        <v>9</v>
      </c>
      <c r="F1" s="7" t="s">
        <v>6</v>
      </c>
    </row>
    <row r="2" spans="1:11" x14ac:dyDescent="0.25">
      <c r="A2" s="4">
        <v>45611</v>
      </c>
      <c r="B2" s="5" t="s">
        <v>1</v>
      </c>
      <c r="C2" s="5">
        <v>1000000</v>
      </c>
      <c r="D2" s="5"/>
      <c r="E2" s="5"/>
      <c r="F2" s="5">
        <f>+C2-D2-E2</f>
        <v>1000000</v>
      </c>
    </row>
    <row r="3" spans="1:11" x14ac:dyDescent="0.25">
      <c r="A3" s="4">
        <v>45610</v>
      </c>
      <c r="B3" s="5" t="s">
        <v>29</v>
      </c>
      <c r="C3" s="5"/>
      <c r="D3" s="5">
        <v>200000</v>
      </c>
      <c r="E3" s="5"/>
      <c r="F3" s="5">
        <f>+F2+C3-D3-E3</f>
        <v>800000</v>
      </c>
    </row>
    <row r="4" spans="1:11" x14ac:dyDescent="0.25">
      <c r="A4" s="4">
        <v>45615</v>
      </c>
      <c r="B4" s="5" t="s">
        <v>28</v>
      </c>
      <c r="C4" s="5"/>
      <c r="D4" s="5">
        <v>200000</v>
      </c>
      <c r="E4" s="5"/>
      <c r="F4" s="5">
        <f t="shared" ref="F4:F28" si="0">+F3+C4-D4-E4</f>
        <v>600000</v>
      </c>
    </row>
    <row r="5" spans="1:11" x14ac:dyDescent="0.25">
      <c r="A5" s="4">
        <v>45615</v>
      </c>
      <c r="B5" s="5" t="s">
        <v>28</v>
      </c>
      <c r="C5" s="5"/>
      <c r="D5" s="5">
        <v>100000</v>
      </c>
      <c r="E5" s="5"/>
      <c r="F5" s="5">
        <f t="shared" si="0"/>
        <v>500000</v>
      </c>
    </row>
    <row r="6" spans="1:11" x14ac:dyDescent="0.25">
      <c r="A6" s="4">
        <v>45616</v>
      </c>
      <c r="B6" s="5" t="s">
        <v>28</v>
      </c>
      <c r="C6" s="5"/>
      <c r="D6" s="5">
        <v>100000</v>
      </c>
      <c r="E6" s="5"/>
      <c r="F6" s="5">
        <f t="shared" si="0"/>
        <v>400000</v>
      </c>
    </row>
    <row r="7" spans="1:11" x14ac:dyDescent="0.25">
      <c r="A7" s="4">
        <v>45617</v>
      </c>
      <c r="B7" s="5" t="s">
        <v>28</v>
      </c>
      <c r="C7" s="5"/>
      <c r="D7" s="5">
        <v>100000</v>
      </c>
      <c r="E7" s="5"/>
      <c r="F7" s="5">
        <f t="shared" si="0"/>
        <v>300000</v>
      </c>
    </row>
    <row r="8" spans="1:11" x14ac:dyDescent="0.25">
      <c r="A8" s="4">
        <v>45618</v>
      </c>
      <c r="B8" s="5" t="s">
        <v>28</v>
      </c>
      <c r="C8" s="5"/>
      <c r="D8" s="5">
        <v>100000</v>
      </c>
      <c r="E8" s="5"/>
      <c r="F8" s="5">
        <f t="shared" si="0"/>
        <v>200000</v>
      </c>
      <c r="J8" s="11"/>
    </row>
    <row r="9" spans="1:11" x14ac:dyDescent="0.25">
      <c r="A9" s="4">
        <v>45621</v>
      </c>
      <c r="B9" s="5" t="s">
        <v>30</v>
      </c>
      <c r="C9" s="5"/>
      <c r="D9" s="5">
        <v>100000</v>
      </c>
      <c r="E9" s="5"/>
      <c r="F9" s="5">
        <f t="shared" si="0"/>
        <v>100000</v>
      </c>
      <c r="J9" s="11"/>
    </row>
    <row r="10" spans="1:11" x14ac:dyDescent="0.25">
      <c r="A10" s="4">
        <v>45621</v>
      </c>
      <c r="B10" s="5" t="s">
        <v>29</v>
      </c>
      <c r="C10" s="5"/>
      <c r="D10" s="5">
        <v>100000</v>
      </c>
      <c r="E10" s="5"/>
      <c r="F10" s="5">
        <f t="shared" si="0"/>
        <v>0</v>
      </c>
      <c r="H10" t="s">
        <v>22</v>
      </c>
      <c r="J10" s="11"/>
    </row>
    <row r="11" spans="1:11" x14ac:dyDescent="0.25">
      <c r="A11" s="4"/>
      <c r="B11" s="5"/>
      <c r="C11" s="5"/>
      <c r="D11" s="5"/>
      <c r="E11" s="5"/>
      <c r="F11" s="5">
        <f t="shared" si="0"/>
        <v>0</v>
      </c>
      <c r="H11" t="s">
        <v>114</v>
      </c>
      <c r="I11">
        <v>472722</v>
      </c>
      <c r="J11" s="11" t="s">
        <v>116</v>
      </c>
      <c r="K11">
        <v>23895</v>
      </c>
    </row>
    <row r="12" spans="1:11" x14ac:dyDescent="0.25">
      <c r="A12" s="4"/>
      <c r="B12" s="5"/>
      <c r="C12" s="5"/>
      <c r="D12" s="5"/>
      <c r="E12" s="5"/>
      <c r="F12" s="5">
        <f t="shared" si="0"/>
        <v>0</v>
      </c>
      <c r="H12" t="s">
        <v>115</v>
      </c>
      <c r="I12">
        <v>463320</v>
      </c>
      <c r="J12" s="11"/>
    </row>
    <row r="13" spans="1:11" x14ac:dyDescent="0.25">
      <c r="A13" s="4"/>
      <c r="B13" s="5"/>
      <c r="C13" s="5"/>
      <c r="D13" s="5"/>
      <c r="E13" s="5"/>
      <c r="F13" s="5">
        <f t="shared" si="0"/>
        <v>0</v>
      </c>
      <c r="H13" t="s">
        <v>114</v>
      </c>
      <c r="I13">
        <v>72366</v>
      </c>
    </row>
    <row r="14" spans="1:11" x14ac:dyDescent="0.25">
      <c r="A14" s="4"/>
      <c r="B14" s="5"/>
      <c r="C14" s="5"/>
      <c r="D14" s="5"/>
      <c r="E14" s="5"/>
      <c r="F14" s="5">
        <f t="shared" si="0"/>
        <v>0</v>
      </c>
    </row>
    <row r="15" spans="1:11" x14ac:dyDescent="0.25">
      <c r="A15" s="4"/>
      <c r="B15" s="5"/>
      <c r="C15" s="5"/>
      <c r="D15" s="5"/>
      <c r="E15" s="5"/>
      <c r="F15" s="5">
        <f t="shared" si="0"/>
        <v>0</v>
      </c>
    </row>
    <row r="16" spans="1:11" x14ac:dyDescent="0.25">
      <c r="A16" s="4"/>
      <c r="B16" s="5"/>
      <c r="C16" s="5"/>
      <c r="D16" s="5"/>
      <c r="E16" s="5"/>
      <c r="F16" s="5">
        <f t="shared" si="0"/>
        <v>0</v>
      </c>
    </row>
    <row r="17" spans="1:19" x14ac:dyDescent="0.25">
      <c r="A17" s="4"/>
      <c r="B17" s="5"/>
      <c r="C17" s="5"/>
      <c r="D17" s="5"/>
      <c r="E17" s="5"/>
      <c r="F17" s="5">
        <f t="shared" si="0"/>
        <v>0</v>
      </c>
    </row>
    <row r="18" spans="1:19" x14ac:dyDescent="0.25">
      <c r="A18" s="4"/>
      <c r="B18" s="5"/>
      <c r="C18" s="5"/>
      <c r="D18" s="5"/>
      <c r="E18" s="5"/>
      <c r="F18" s="5">
        <f t="shared" si="0"/>
        <v>0</v>
      </c>
    </row>
    <row r="19" spans="1:19" x14ac:dyDescent="0.25">
      <c r="A19" s="4"/>
      <c r="B19" s="5"/>
      <c r="C19" s="5"/>
      <c r="D19" s="5"/>
      <c r="E19" s="5"/>
      <c r="F19" s="5">
        <f t="shared" si="0"/>
        <v>0</v>
      </c>
      <c r="H19" t="s">
        <v>117</v>
      </c>
      <c r="I19" t="s">
        <v>118</v>
      </c>
      <c r="J19" t="s">
        <v>119</v>
      </c>
      <c r="K19" t="s">
        <v>120</v>
      </c>
      <c r="L19" t="s">
        <v>121</v>
      </c>
      <c r="N19" t="s">
        <v>122</v>
      </c>
      <c r="O19" t="s">
        <v>123</v>
      </c>
    </row>
    <row r="20" spans="1:19" x14ac:dyDescent="0.25">
      <c r="A20" s="4"/>
      <c r="B20" s="5"/>
      <c r="C20" s="5"/>
      <c r="D20" s="5"/>
      <c r="E20" s="5"/>
      <c r="F20" s="5">
        <f t="shared" si="0"/>
        <v>0</v>
      </c>
      <c r="H20" s="1">
        <v>477900</v>
      </c>
      <c r="I20" s="1">
        <f>+H20*0.05</f>
        <v>23895</v>
      </c>
      <c r="J20" s="1">
        <f>+H20*0.152542372881356</f>
        <v>72900</v>
      </c>
      <c r="K20" s="1">
        <f>+J20/5</f>
        <v>14580</v>
      </c>
      <c r="L20" s="1">
        <f>+H20-K20</f>
        <v>463320</v>
      </c>
      <c r="M20" s="1"/>
      <c r="N20" s="1">
        <f>+I20</f>
        <v>23895</v>
      </c>
      <c r="O20" s="1">
        <f>+J20*4/5</f>
        <v>58320</v>
      </c>
      <c r="Q20" s="34">
        <f>+H20-I20-J20</f>
        <v>381105</v>
      </c>
    </row>
    <row r="21" spans="1:19" x14ac:dyDescent="0.25">
      <c r="A21" s="4"/>
      <c r="B21" s="5"/>
      <c r="C21" s="5"/>
      <c r="D21" s="5"/>
      <c r="E21" s="5"/>
      <c r="F21" s="5">
        <f t="shared" si="0"/>
        <v>0</v>
      </c>
      <c r="H21" s="1"/>
      <c r="I21" s="1"/>
      <c r="J21" s="1"/>
      <c r="K21" s="1"/>
      <c r="L21" s="1"/>
      <c r="M21" s="1"/>
      <c r="N21" s="1"/>
      <c r="O21" s="1"/>
    </row>
    <row r="22" spans="1:19" x14ac:dyDescent="0.25">
      <c r="A22" s="4"/>
      <c r="B22" s="3"/>
      <c r="C22" s="3"/>
      <c r="D22" s="3"/>
      <c r="E22" s="3"/>
      <c r="F22" s="5">
        <f t="shared" si="0"/>
        <v>0</v>
      </c>
      <c r="H22" s="1">
        <v>486133</v>
      </c>
      <c r="I22" s="1">
        <f>+H22*0.1</f>
        <v>48613.3</v>
      </c>
      <c r="J22" s="1">
        <f>+H22*0.137931034482759</f>
        <v>67052.827586206899</v>
      </c>
      <c r="K22" s="1">
        <f>+J22/5</f>
        <v>13410.565517241379</v>
      </c>
      <c r="L22" s="1">
        <f>+H22-K22</f>
        <v>472722.43448275863</v>
      </c>
      <c r="M22" s="1"/>
      <c r="N22" s="1">
        <f>+I22</f>
        <v>48613.3</v>
      </c>
      <c r="O22" s="1">
        <f>+J22*0.8</f>
        <v>53642.262068965523</v>
      </c>
      <c r="Q22" s="34">
        <f>+H22-I22-J22</f>
        <v>370466.87241379311</v>
      </c>
    </row>
    <row r="23" spans="1:19" x14ac:dyDescent="0.25">
      <c r="A23" s="4"/>
      <c r="B23" s="3"/>
      <c r="C23" s="3"/>
      <c r="D23" s="3"/>
      <c r="E23" s="3"/>
      <c r="F23" s="5">
        <f t="shared" si="0"/>
        <v>0</v>
      </c>
      <c r="H23" s="1"/>
      <c r="I23" s="1"/>
      <c r="J23" s="1"/>
      <c r="K23" s="1"/>
      <c r="L23" s="1"/>
      <c r="M23" s="1"/>
      <c r="N23" s="1"/>
      <c r="O23" s="1"/>
    </row>
    <row r="24" spans="1:19" x14ac:dyDescent="0.25">
      <c r="A24" s="4"/>
      <c r="B24" s="3"/>
      <c r="C24" s="3"/>
      <c r="D24" s="3"/>
      <c r="E24" s="3"/>
      <c r="F24" s="5">
        <f t="shared" si="0"/>
        <v>0</v>
      </c>
      <c r="H24" s="35">
        <v>74419</v>
      </c>
      <c r="I24" s="35">
        <f>+H24*0.1</f>
        <v>7441.9000000000005</v>
      </c>
      <c r="J24" s="35">
        <f>+H24*0.137931034482759</f>
        <v>10264.689655172413</v>
      </c>
      <c r="K24" s="35">
        <f>+J24/5</f>
        <v>2052.9379310344825</v>
      </c>
      <c r="L24" s="35">
        <f>+H24-K24</f>
        <v>72366.062068965519</v>
      </c>
      <c r="M24" s="35"/>
      <c r="N24" s="35">
        <f>+I24</f>
        <v>7441.9000000000005</v>
      </c>
      <c r="O24" s="35">
        <f>+J24*0.8</f>
        <v>8211.7517241379301</v>
      </c>
      <c r="Q24" s="34">
        <f>+H24-I24-J24</f>
        <v>56712.410344827593</v>
      </c>
    </row>
    <row r="25" spans="1:19" x14ac:dyDescent="0.25">
      <c r="A25" s="4"/>
      <c r="B25" s="3"/>
      <c r="C25" s="3"/>
      <c r="D25" s="3"/>
      <c r="E25" s="3"/>
      <c r="F25" s="5">
        <f t="shared" si="0"/>
        <v>0</v>
      </c>
      <c r="H25" s="1">
        <f>SUM(H20:H24)</f>
        <v>1038452</v>
      </c>
      <c r="I25" s="1"/>
      <c r="J25" s="1"/>
      <c r="K25" s="1"/>
      <c r="L25" s="1">
        <f>SUM(L20:L24)</f>
        <v>1008408.4965517242</v>
      </c>
      <c r="M25" s="1"/>
      <c r="N25" s="1">
        <f>SUM(N20:N24)</f>
        <v>79950.2</v>
      </c>
      <c r="O25" s="1">
        <f>SUM(O20:O24)</f>
        <v>120174.01379310346</v>
      </c>
      <c r="Q25" s="1">
        <f>SUM(Q20:Q24)</f>
        <v>808284.28275862068</v>
      </c>
    </row>
    <row r="26" spans="1:19" x14ac:dyDescent="0.25">
      <c r="A26" s="4"/>
      <c r="B26" s="3"/>
      <c r="C26" s="3"/>
      <c r="D26" s="3"/>
      <c r="E26" s="3"/>
      <c r="F26" s="5">
        <f t="shared" si="0"/>
        <v>0</v>
      </c>
      <c r="H26" s="1"/>
      <c r="I26" s="1"/>
      <c r="J26" s="1"/>
      <c r="K26" s="1"/>
      <c r="L26" s="1"/>
      <c r="M26" s="1"/>
      <c r="N26" s="1"/>
      <c r="O26" s="36" t="s">
        <v>141</v>
      </c>
      <c r="Q26" s="1">
        <v>-36500</v>
      </c>
    </row>
    <row r="27" spans="1:19" x14ac:dyDescent="0.25">
      <c r="A27" s="4"/>
      <c r="B27" s="3"/>
      <c r="C27" s="3"/>
      <c r="D27" s="3"/>
      <c r="E27" s="3"/>
      <c r="F27" s="5">
        <f t="shared" si="0"/>
        <v>0</v>
      </c>
      <c r="H27" s="1"/>
      <c r="I27" s="1"/>
      <c r="J27" s="1"/>
      <c r="K27" s="1"/>
      <c r="L27" s="1"/>
      <c r="M27" s="1"/>
      <c r="N27" s="1"/>
      <c r="O27" s="1" t="s">
        <v>142</v>
      </c>
      <c r="Q27" s="1">
        <f>+Q25+Q26</f>
        <v>771784.28275862068</v>
      </c>
      <c r="R27" s="34">
        <f>+Q27-Q28-Q29-Q30</f>
        <v>103000.28275862068</v>
      </c>
      <c r="S27" s="34"/>
    </row>
    <row r="28" spans="1:19" x14ac:dyDescent="0.25">
      <c r="A28" s="4"/>
      <c r="B28" s="3"/>
      <c r="C28" s="3"/>
      <c r="D28" s="3"/>
      <c r="E28" s="3"/>
      <c r="F28" s="12">
        <f t="shared" si="0"/>
        <v>0</v>
      </c>
      <c r="H28" s="1" t="s">
        <v>143</v>
      </c>
      <c r="I28" s="1">
        <v>1000000</v>
      </c>
      <c r="J28" s="1"/>
      <c r="K28" s="1"/>
      <c r="L28" s="1"/>
      <c r="M28" s="1"/>
      <c r="N28" s="1"/>
      <c r="O28" s="1" t="s">
        <v>138</v>
      </c>
      <c r="Q28" s="1">
        <v>500000</v>
      </c>
    </row>
    <row r="29" spans="1:19" x14ac:dyDescent="0.25">
      <c r="A29" s="9" t="s">
        <v>10</v>
      </c>
      <c r="B29" s="6"/>
      <c r="C29" s="10">
        <f>SUM(C2:C28)</f>
        <v>1000000</v>
      </c>
      <c r="D29" s="10">
        <f>SUM(D2:D28)</f>
        <v>1000000</v>
      </c>
      <c r="E29" s="10">
        <f>SUM(E2:E28)</f>
        <v>0</v>
      </c>
      <c r="F29" s="13">
        <f>+C29-D29-E29</f>
        <v>0</v>
      </c>
      <c r="H29" s="1" t="s">
        <v>144</v>
      </c>
      <c r="I29" s="1">
        <f>+I28*0.09</f>
        <v>90000</v>
      </c>
      <c r="J29" s="1"/>
      <c r="K29" s="1"/>
      <c r="L29" s="1"/>
      <c r="M29" s="1"/>
      <c r="N29" s="1"/>
      <c r="O29" s="1" t="s">
        <v>140</v>
      </c>
      <c r="Q29" s="1">
        <v>16165</v>
      </c>
      <c r="R29" s="34"/>
    </row>
    <row r="30" spans="1:19" x14ac:dyDescent="0.25">
      <c r="H30" s="1" t="s">
        <v>145</v>
      </c>
      <c r="I30" s="1">
        <f>+I28+I29</f>
        <v>1090000</v>
      </c>
      <c r="J30" s="1"/>
      <c r="K30" s="1"/>
      <c r="L30" s="1"/>
      <c r="O30" s="1" t="s">
        <v>148</v>
      </c>
      <c r="Q30" s="1">
        <v>152619</v>
      </c>
      <c r="R30" s="34"/>
    </row>
    <row r="31" spans="1:19" x14ac:dyDescent="0.25">
      <c r="H31" s="1" t="s">
        <v>146</v>
      </c>
      <c r="I31" s="1">
        <v>500000</v>
      </c>
      <c r="O31" s="1" t="s">
        <v>149</v>
      </c>
      <c r="Q31" s="34">
        <f>+Q27-Q28-Q29-Q30</f>
        <v>103000.28275862068</v>
      </c>
      <c r="R31" s="34"/>
    </row>
    <row r="32" spans="1:19" x14ac:dyDescent="0.25">
      <c r="H32" s="1" t="s">
        <v>147</v>
      </c>
      <c r="I32" s="34">
        <f>+I30-I31</f>
        <v>590000</v>
      </c>
      <c r="O32" s="1"/>
      <c r="Q32" s="34"/>
    </row>
    <row r="33" spans="8:15" x14ac:dyDescent="0.25">
      <c r="H33" s="1" t="s">
        <v>214</v>
      </c>
      <c r="I33">
        <v>500000</v>
      </c>
      <c r="O33" s="1"/>
    </row>
    <row r="34" spans="8:15" x14ac:dyDescent="0.25">
      <c r="H34" s="1" t="s">
        <v>215</v>
      </c>
      <c r="I34">
        <v>90000</v>
      </c>
      <c r="O34" s="1"/>
    </row>
    <row r="35" spans="8:15" x14ac:dyDescent="0.25">
      <c r="O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5862-F968-4789-989A-4EF608A71A8B}">
  <dimension ref="A1:U284"/>
  <sheetViews>
    <sheetView tabSelected="1" workbookViewId="0">
      <pane ySplit="1" topLeftCell="A230" activePane="bottomLeft" state="frozen"/>
      <selection pane="bottomLeft" activeCell="I250" sqref="I250"/>
    </sheetView>
  </sheetViews>
  <sheetFormatPr defaultRowHeight="15" x14ac:dyDescent="0.25"/>
  <cols>
    <col min="1" max="1" width="13.85546875" customWidth="1"/>
    <col min="2" max="2" width="51.7109375" customWidth="1"/>
    <col min="3" max="3" width="14.7109375" customWidth="1"/>
    <col min="4" max="4" width="13.85546875" customWidth="1"/>
    <col min="5" max="5" width="15.28515625" customWidth="1"/>
    <col min="6" max="6" width="13.85546875" customWidth="1"/>
    <col min="7" max="7" width="8.7109375" customWidth="1"/>
    <col min="11" max="11" width="11" customWidth="1"/>
    <col min="21" max="21" width="11.7109375" customWidth="1"/>
  </cols>
  <sheetData>
    <row r="1" spans="1:6" x14ac:dyDescent="0.25">
      <c r="A1" s="3" t="s">
        <v>3</v>
      </c>
      <c r="B1" s="3" t="s">
        <v>5</v>
      </c>
      <c r="C1" s="3" t="s">
        <v>4</v>
      </c>
      <c r="D1" s="3" t="s">
        <v>2</v>
      </c>
      <c r="E1" s="3" t="s">
        <v>9</v>
      </c>
      <c r="F1" s="3" t="s">
        <v>6</v>
      </c>
    </row>
    <row r="2" spans="1:6" x14ac:dyDescent="0.25">
      <c r="A2" s="4">
        <v>45617</v>
      </c>
      <c r="B2" s="3" t="s">
        <v>15</v>
      </c>
      <c r="C2" s="5">
        <v>250000</v>
      </c>
      <c r="D2" s="5"/>
      <c r="E2" s="5"/>
      <c r="F2" s="5">
        <f>+C2-D2-E2</f>
        <v>250000</v>
      </c>
    </row>
    <row r="3" spans="1:6" x14ac:dyDescent="0.25">
      <c r="A3" s="4">
        <v>45617</v>
      </c>
      <c r="B3" s="3" t="s">
        <v>49</v>
      </c>
      <c r="C3" s="5"/>
      <c r="D3" s="5">
        <v>109338</v>
      </c>
      <c r="E3" s="5"/>
      <c r="F3" s="5">
        <f t="shared" ref="F3:F66" si="0">+F2+C3-D3-E3</f>
        <v>140662</v>
      </c>
    </row>
    <row r="4" spans="1:6" x14ac:dyDescent="0.25">
      <c r="A4" s="20">
        <v>45621</v>
      </c>
      <c r="B4" s="21" t="s">
        <v>48</v>
      </c>
      <c r="C4" s="22"/>
      <c r="D4" s="22">
        <v>62000</v>
      </c>
      <c r="E4" s="22"/>
      <c r="F4" s="22">
        <f t="shared" si="0"/>
        <v>78662</v>
      </c>
    </row>
    <row r="5" spans="1:6" x14ac:dyDescent="0.25">
      <c r="A5" s="20">
        <v>45621</v>
      </c>
      <c r="B5" s="21" t="s">
        <v>47</v>
      </c>
      <c r="C5" s="22"/>
      <c r="D5" s="22">
        <v>4650</v>
      </c>
      <c r="E5" s="22"/>
      <c r="F5" s="22">
        <f t="shared" si="0"/>
        <v>74012</v>
      </c>
    </row>
    <row r="6" spans="1:6" x14ac:dyDescent="0.25">
      <c r="A6" s="20">
        <v>45623</v>
      </c>
      <c r="B6" s="21" t="s">
        <v>46</v>
      </c>
      <c r="C6" s="22"/>
      <c r="D6" s="22">
        <v>25125</v>
      </c>
      <c r="E6" s="22"/>
      <c r="F6" s="22">
        <f t="shared" si="0"/>
        <v>48887</v>
      </c>
    </row>
    <row r="7" spans="1:6" x14ac:dyDescent="0.25">
      <c r="A7" s="20">
        <v>45623</v>
      </c>
      <c r="B7" s="21" t="s">
        <v>45</v>
      </c>
      <c r="C7" s="22"/>
      <c r="D7" s="22">
        <v>5829</v>
      </c>
      <c r="E7" s="22"/>
      <c r="F7" s="22">
        <f t="shared" si="0"/>
        <v>43058</v>
      </c>
    </row>
    <row r="8" spans="1:6" x14ac:dyDescent="0.25">
      <c r="A8" s="23">
        <v>45625</v>
      </c>
      <c r="B8" s="24" t="s">
        <v>34</v>
      </c>
      <c r="C8" s="25"/>
      <c r="D8" s="25"/>
      <c r="E8" s="25">
        <v>1450</v>
      </c>
      <c r="F8" s="25">
        <f t="shared" si="0"/>
        <v>41608</v>
      </c>
    </row>
    <row r="9" spans="1:6" x14ac:dyDescent="0.25">
      <c r="A9" s="23">
        <v>45628</v>
      </c>
      <c r="B9" s="24" t="s">
        <v>26</v>
      </c>
      <c r="C9" s="25"/>
      <c r="D9" s="25"/>
      <c r="E9" s="25">
        <v>2900</v>
      </c>
      <c r="F9" s="25">
        <f t="shared" si="0"/>
        <v>38708</v>
      </c>
    </row>
    <row r="10" spans="1:6" x14ac:dyDescent="0.25">
      <c r="A10" s="26">
        <v>45628</v>
      </c>
      <c r="B10" s="27" t="s">
        <v>36</v>
      </c>
      <c r="C10" s="28">
        <v>50000</v>
      </c>
      <c r="D10" s="28"/>
      <c r="E10" s="28"/>
      <c r="F10" s="28">
        <f t="shared" si="0"/>
        <v>88708</v>
      </c>
    </row>
    <row r="11" spans="1:6" x14ac:dyDescent="0.25">
      <c r="A11" s="20">
        <v>45628</v>
      </c>
      <c r="B11" s="21" t="s">
        <v>44</v>
      </c>
      <c r="C11" s="22"/>
      <c r="D11" s="22">
        <v>77500</v>
      </c>
      <c r="E11" s="22"/>
      <c r="F11" s="22">
        <f t="shared" si="0"/>
        <v>11208</v>
      </c>
    </row>
    <row r="12" spans="1:6" x14ac:dyDescent="0.25">
      <c r="A12" s="26">
        <v>45629</v>
      </c>
      <c r="B12" s="27" t="s">
        <v>36</v>
      </c>
      <c r="C12" s="28">
        <v>25000</v>
      </c>
      <c r="D12" s="28"/>
      <c r="E12" s="28"/>
      <c r="F12" s="28">
        <f t="shared" si="0"/>
        <v>36208</v>
      </c>
    </row>
    <row r="13" spans="1:6" x14ac:dyDescent="0.25">
      <c r="A13" s="23">
        <v>45630</v>
      </c>
      <c r="B13" s="24" t="s">
        <v>50</v>
      </c>
      <c r="C13" s="25"/>
      <c r="D13" s="25"/>
      <c r="E13" s="25">
        <v>25000</v>
      </c>
      <c r="F13" s="25">
        <f t="shared" si="0"/>
        <v>11208</v>
      </c>
    </row>
    <row r="14" spans="1:6" x14ac:dyDescent="0.25">
      <c r="A14" s="26">
        <v>45630</v>
      </c>
      <c r="B14" s="27" t="s">
        <v>36</v>
      </c>
      <c r="C14" s="28">
        <v>50000</v>
      </c>
      <c r="D14" s="28"/>
      <c r="E14" s="28"/>
      <c r="F14" s="28">
        <f t="shared" si="0"/>
        <v>61208</v>
      </c>
    </row>
    <row r="15" spans="1:6" x14ac:dyDescent="0.25">
      <c r="A15" s="4">
        <v>45630</v>
      </c>
      <c r="B15" s="3" t="s">
        <v>39</v>
      </c>
      <c r="C15" s="5"/>
      <c r="D15" s="5"/>
      <c r="E15" s="5">
        <v>2000</v>
      </c>
      <c r="F15" s="5">
        <f t="shared" si="0"/>
        <v>59208</v>
      </c>
    </row>
    <row r="16" spans="1:6" x14ac:dyDescent="0.25">
      <c r="A16" s="4">
        <v>45630</v>
      </c>
      <c r="B16" s="3" t="s">
        <v>40</v>
      </c>
      <c r="C16" s="5"/>
      <c r="D16" s="5"/>
      <c r="E16" s="5">
        <v>800</v>
      </c>
      <c r="F16" s="5">
        <f t="shared" si="0"/>
        <v>58408</v>
      </c>
    </row>
    <row r="17" spans="1:6" x14ac:dyDescent="0.25">
      <c r="A17" s="4">
        <v>45631</v>
      </c>
      <c r="B17" s="3" t="s">
        <v>41</v>
      </c>
      <c r="C17" s="5"/>
      <c r="D17" s="5"/>
      <c r="E17" s="5">
        <v>700</v>
      </c>
      <c r="F17" s="5">
        <f t="shared" si="0"/>
        <v>57708</v>
      </c>
    </row>
    <row r="18" spans="1:6" x14ac:dyDescent="0.25">
      <c r="A18" s="23">
        <v>45632</v>
      </c>
      <c r="B18" s="24" t="s">
        <v>51</v>
      </c>
      <c r="C18" s="25"/>
      <c r="D18" s="25"/>
      <c r="E18" s="25">
        <v>25000</v>
      </c>
      <c r="F18" s="25">
        <f t="shared" si="0"/>
        <v>32708</v>
      </c>
    </row>
    <row r="19" spans="1:6" x14ac:dyDescent="0.25">
      <c r="A19" s="4">
        <v>45632</v>
      </c>
      <c r="B19" s="3" t="s">
        <v>42</v>
      </c>
      <c r="C19" s="5"/>
      <c r="D19" s="5"/>
      <c r="E19" s="5">
        <v>7000</v>
      </c>
      <c r="F19" s="5">
        <f t="shared" si="0"/>
        <v>25708</v>
      </c>
    </row>
    <row r="20" spans="1:6" x14ac:dyDescent="0.25">
      <c r="A20" s="20">
        <v>45632</v>
      </c>
      <c r="B20" s="21" t="s">
        <v>43</v>
      </c>
      <c r="C20" s="22"/>
      <c r="D20" s="22">
        <v>29145</v>
      </c>
      <c r="E20" s="22"/>
      <c r="F20" s="22">
        <f t="shared" si="0"/>
        <v>-3437</v>
      </c>
    </row>
    <row r="21" spans="1:6" x14ac:dyDescent="0.25">
      <c r="A21" s="20">
        <v>45633</v>
      </c>
      <c r="B21" s="21" t="s">
        <v>52</v>
      </c>
      <c r="C21" s="22"/>
      <c r="D21" s="22">
        <v>23798</v>
      </c>
      <c r="E21" s="22"/>
      <c r="F21" s="22">
        <f t="shared" si="0"/>
        <v>-27235</v>
      </c>
    </row>
    <row r="22" spans="1:6" x14ac:dyDescent="0.25">
      <c r="A22" s="23">
        <v>45637</v>
      </c>
      <c r="B22" s="24" t="s">
        <v>55</v>
      </c>
      <c r="C22" s="25"/>
      <c r="D22" s="25"/>
      <c r="E22" s="25">
        <v>3100</v>
      </c>
      <c r="F22" s="25">
        <f t="shared" si="0"/>
        <v>-30335</v>
      </c>
    </row>
    <row r="23" spans="1:6" x14ac:dyDescent="0.25">
      <c r="A23" s="26">
        <v>45638</v>
      </c>
      <c r="B23" s="27" t="s">
        <v>36</v>
      </c>
      <c r="C23" s="28">
        <v>185000</v>
      </c>
      <c r="D23" s="28"/>
      <c r="E23" s="28"/>
      <c r="F23" s="28">
        <f t="shared" si="0"/>
        <v>154665</v>
      </c>
    </row>
    <row r="24" spans="1:6" x14ac:dyDescent="0.25">
      <c r="A24" s="23">
        <v>45638</v>
      </c>
      <c r="B24" s="24" t="s">
        <v>56</v>
      </c>
      <c r="C24" s="25"/>
      <c r="D24" s="25"/>
      <c r="E24" s="25">
        <v>10000</v>
      </c>
      <c r="F24" s="25">
        <f t="shared" si="0"/>
        <v>144665</v>
      </c>
    </row>
    <row r="25" spans="1:6" x14ac:dyDescent="0.25">
      <c r="A25" s="4">
        <v>45638</v>
      </c>
      <c r="B25" s="3" t="s">
        <v>57</v>
      </c>
      <c r="C25" s="5"/>
      <c r="D25" s="5"/>
      <c r="E25" s="5">
        <v>7000</v>
      </c>
      <c r="F25" s="5">
        <f t="shared" si="0"/>
        <v>137665</v>
      </c>
    </row>
    <row r="26" spans="1:6" x14ac:dyDescent="0.25">
      <c r="A26" s="23">
        <v>45638</v>
      </c>
      <c r="B26" s="24" t="s">
        <v>58</v>
      </c>
      <c r="C26" s="25"/>
      <c r="D26" s="25"/>
      <c r="E26" s="25">
        <v>665</v>
      </c>
      <c r="F26" s="25">
        <f t="shared" si="0"/>
        <v>137000</v>
      </c>
    </row>
    <row r="27" spans="1:6" x14ac:dyDescent="0.25">
      <c r="A27" s="20">
        <v>45639</v>
      </c>
      <c r="B27" s="21" t="s">
        <v>61</v>
      </c>
      <c r="C27" s="22"/>
      <c r="D27" s="22">
        <v>6250</v>
      </c>
      <c r="E27" s="22"/>
      <c r="F27" s="22">
        <f t="shared" si="0"/>
        <v>130750</v>
      </c>
    </row>
    <row r="28" spans="1:6" x14ac:dyDescent="0.25">
      <c r="A28" s="20">
        <v>45639</v>
      </c>
      <c r="B28" s="21" t="s">
        <v>63</v>
      </c>
      <c r="C28" s="22"/>
      <c r="D28" s="22">
        <v>18685</v>
      </c>
      <c r="E28" s="22"/>
      <c r="F28" s="22">
        <f t="shared" si="0"/>
        <v>112065</v>
      </c>
    </row>
    <row r="29" spans="1:6" x14ac:dyDescent="0.25">
      <c r="A29" s="23">
        <v>45640</v>
      </c>
      <c r="B29" s="24" t="s">
        <v>59</v>
      </c>
      <c r="C29" s="25"/>
      <c r="D29" s="25"/>
      <c r="E29" s="25">
        <v>3100</v>
      </c>
      <c r="F29" s="22">
        <f t="shared" si="0"/>
        <v>108965</v>
      </c>
    </row>
    <row r="30" spans="1:6" x14ac:dyDescent="0.25">
      <c r="A30" s="4">
        <v>45640</v>
      </c>
      <c r="B30" s="3" t="s">
        <v>70</v>
      </c>
      <c r="C30" s="5"/>
      <c r="D30" s="5"/>
      <c r="E30" s="5">
        <v>3800</v>
      </c>
      <c r="F30" s="22">
        <f t="shared" si="0"/>
        <v>105165</v>
      </c>
    </row>
    <row r="31" spans="1:6" x14ac:dyDescent="0.25">
      <c r="A31" s="4">
        <v>45640</v>
      </c>
      <c r="B31" s="3" t="s">
        <v>60</v>
      </c>
      <c r="C31" s="5"/>
      <c r="D31" s="5"/>
      <c r="E31" s="5">
        <v>7000</v>
      </c>
      <c r="F31" s="22">
        <f t="shared" si="0"/>
        <v>98165</v>
      </c>
    </row>
    <row r="32" spans="1:6" x14ac:dyDescent="0.25">
      <c r="A32" s="20">
        <v>45642</v>
      </c>
      <c r="B32" s="21" t="s">
        <v>67</v>
      </c>
      <c r="C32" s="22"/>
      <c r="D32" s="22">
        <v>30000</v>
      </c>
      <c r="E32" s="22"/>
      <c r="F32" s="22">
        <f t="shared" si="0"/>
        <v>68165</v>
      </c>
    </row>
    <row r="33" spans="1:6" x14ac:dyDescent="0.25">
      <c r="A33" s="23">
        <v>45643</v>
      </c>
      <c r="B33" s="24" t="s">
        <v>50</v>
      </c>
      <c r="C33" s="25"/>
      <c r="D33" s="25"/>
      <c r="E33" s="25">
        <v>10000</v>
      </c>
      <c r="F33" s="22">
        <f t="shared" si="0"/>
        <v>58165</v>
      </c>
    </row>
    <row r="34" spans="1:6" x14ac:dyDescent="0.25">
      <c r="A34" s="4">
        <v>45643</v>
      </c>
      <c r="B34" s="3" t="s">
        <v>66</v>
      </c>
      <c r="C34" s="5"/>
      <c r="D34" s="5"/>
      <c r="E34" s="5">
        <v>1500</v>
      </c>
      <c r="F34" s="22">
        <f t="shared" si="0"/>
        <v>56665</v>
      </c>
    </row>
    <row r="35" spans="1:6" x14ac:dyDescent="0.25">
      <c r="A35" s="4">
        <v>45643</v>
      </c>
      <c r="B35" s="3" t="s">
        <v>65</v>
      </c>
      <c r="C35" s="5"/>
      <c r="D35" s="5"/>
      <c r="E35" s="5">
        <v>1500</v>
      </c>
      <c r="F35" s="22">
        <f t="shared" si="0"/>
        <v>55165</v>
      </c>
    </row>
    <row r="36" spans="1:6" x14ac:dyDescent="0.25">
      <c r="A36" s="23">
        <v>45645</v>
      </c>
      <c r="B36" s="24" t="s">
        <v>68</v>
      </c>
      <c r="C36" s="25"/>
      <c r="D36" s="25"/>
      <c r="E36" s="25">
        <v>5000</v>
      </c>
      <c r="F36" s="22">
        <f t="shared" si="0"/>
        <v>50165</v>
      </c>
    </row>
    <row r="37" spans="1:6" x14ac:dyDescent="0.25">
      <c r="A37" s="4">
        <v>45645</v>
      </c>
      <c r="B37" s="3" t="s">
        <v>69</v>
      </c>
      <c r="C37" s="5"/>
      <c r="D37" s="5"/>
      <c r="E37" s="5">
        <v>3000</v>
      </c>
      <c r="F37" s="22">
        <f t="shared" si="0"/>
        <v>47165</v>
      </c>
    </row>
    <row r="38" spans="1:6" x14ac:dyDescent="0.25">
      <c r="A38" s="29">
        <v>45647</v>
      </c>
      <c r="B38" s="30" t="s">
        <v>71</v>
      </c>
      <c r="C38" s="5"/>
      <c r="D38" s="5"/>
      <c r="E38" s="5">
        <v>1800</v>
      </c>
      <c r="F38" s="22">
        <f t="shared" si="0"/>
        <v>45365</v>
      </c>
    </row>
    <row r="39" spans="1:6" x14ac:dyDescent="0.25">
      <c r="A39" s="31">
        <v>45649</v>
      </c>
      <c r="B39" s="32" t="s">
        <v>91</v>
      </c>
      <c r="C39" s="5"/>
      <c r="D39" s="5">
        <v>40950</v>
      </c>
      <c r="E39" s="5"/>
      <c r="F39" s="22">
        <f t="shared" si="0"/>
        <v>4415</v>
      </c>
    </row>
    <row r="40" spans="1:6" x14ac:dyDescent="0.25">
      <c r="A40" s="26">
        <v>45649</v>
      </c>
      <c r="B40" s="3" t="s">
        <v>36</v>
      </c>
      <c r="C40" s="5">
        <v>11050</v>
      </c>
      <c r="D40" s="5"/>
      <c r="E40" s="5"/>
      <c r="F40" s="22">
        <f t="shared" si="0"/>
        <v>15465</v>
      </c>
    </row>
    <row r="41" spans="1:6" x14ac:dyDescent="0.25">
      <c r="A41" s="4">
        <v>45649</v>
      </c>
      <c r="B41" s="3" t="s">
        <v>72</v>
      </c>
      <c r="C41" s="5"/>
      <c r="D41" s="5"/>
      <c r="E41" s="5">
        <v>10425</v>
      </c>
      <c r="F41" s="22">
        <f t="shared" si="0"/>
        <v>5040</v>
      </c>
    </row>
    <row r="42" spans="1:6" x14ac:dyDescent="0.25">
      <c r="A42" s="31">
        <v>45650</v>
      </c>
      <c r="B42" s="32" t="s">
        <v>76</v>
      </c>
      <c r="C42" s="5"/>
      <c r="D42" s="5"/>
      <c r="E42" s="5">
        <v>5040</v>
      </c>
      <c r="F42" s="22">
        <f t="shared" si="0"/>
        <v>0</v>
      </c>
    </row>
    <row r="43" spans="1:6" x14ac:dyDescent="0.25">
      <c r="A43" s="4">
        <v>45659</v>
      </c>
      <c r="B43" s="3" t="s">
        <v>77</v>
      </c>
      <c r="C43" s="5">
        <v>50000</v>
      </c>
      <c r="D43" s="5"/>
      <c r="E43" s="5"/>
      <c r="F43" s="22">
        <f t="shared" si="0"/>
        <v>50000</v>
      </c>
    </row>
    <row r="44" spans="1:6" x14ac:dyDescent="0.25">
      <c r="A44" s="4">
        <v>45664</v>
      </c>
      <c r="B44" s="3" t="s">
        <v>78</v>
      </c>
      <c r="C44" s="5">
        <v>400000</v>
      </c>
      <c r="D44" s="5"/>
      <c r="E44" s="5"/>
      <c r="F44" s="22">
        <f t="shared" si="0"/>
        <v>450000</v>
      </c>
    </row>
    <row r="45" spans="1:6" x14ac:dyDescent="0.25">
      <c r="A45" s="31">
        <v>45649</v>
      </c>
      <c r="B45" s="32" t="s">
        <v>79</v>
      </c>
      <c r="C45" s="33"/>
      <c r="D45" s="33">
        <v>74400</v>
      </c>
      <c r="E45" s="5"/>
      <c r="F45" s="22">
        <f t="shared" si="0"/>
        <v>375600</v>
      </c>
    </row>
    <row r="46" spans="1:6" x14ac:dyDescent="0.25">
      <c r="A46" s="31">
        <v>45661</v>
      </c>
      <c r="B46" s="32" t="s">
        <v>80</v>
      </c>
      <c r="C46" s="33"/>
      <c r="D46" s="33">
        <v>55750</v>
      </c>
      <c r="E46" s="5"/>
      <c r="F46" s="22">
        <f t="shared" si="0"/>
        <v>319850</v>
      </c>
    </row>
    <row r="47" spans="1:6" x14ac:dyDescent="0.25">
      <c r="A47" s="4">
        <v>45660</v>
      </c>
      <c r="B47" s="3" t="s">
        <v>81</v>
      </c>
      <c r="C47" s="5"/>
      <c r="D47" s="5"/>
      <c r="E47" s="5">
        <v>15000</v>
      </c>
      <c r="F47" s="22">
        <f t="shared" si="0"/>
        <v>304850</v>
      </c>
    </row>
    <row r="48" spans="1:6" x14ac:dyDescent="0.25">
      <c r="A48" s="4">
        <v>45660</v>
      </c>
      <c r="B48" s="3" t="s">
        <v>82</v>
      </c>
      <c r="C48" s="5"/>
      <c r="D48" s="5"/>
      <c r="E48" s="5">
        <v>11300</v>
      </c>
      <c r="F48" s="22">
        <f t="shared" si="0"/>
        <v>293550</v>
      </c>
    </row>
    <row r="49" spans="1:6" x14ac:dyDescent="0.25">
      <c r="A49" s="4">
        <v>45664</v>
      </c>
      <c r="B49" s="3" t="s">
        <v>83</v>
      </c>
      <c r="C49" s="5"/>
      <c r="D49" s="5"/>
      <c r="E49" s="5">
        <v>107000</v>
      </c>
      <c r="F49" s="22">
        <f t="shared" si="0"/>
        <v>186550</v>
      </c>
    </row>
    <row r="50" spans="1:6" x14ac:dyDescent="0.25">
      <c r="A50" s="4">
        <v>45664</v>
      </c>
      <c r="B50" s="3" t="s">
        <v>84</v>
      </c>
      <c r="C50" s="5"/>
      <c r="D50" s="5"/>
      <c r="E50" s="5">
        <v>50000</v>
      </c>
      <c r="F50" s="22">
        <f t="shared" si="0"/>
        <v>136550</v>
      </c>
    </row>
    <row r="51" spans="1:6" x14ac:dyDescent="0.25">
      <c r="A51" s="4">
        <v>45664</v>
      </c>
      <c r="B51" s="3" t="s">
        <v>85</v>
      </c>
      <c r="C51" s="5"/>
      <c r="D51" s="5"/>
      <c r="E51" s="5">
        <v>9000</v>
      </c>
      <c r="F51" s="22">
        <f t="shared" si="0"/>
        <v>127550</v>
      </c>
    </row>
    <row r="52" spans="1:6" x14ac:dyDescent="0.25">
      <c r="A52" s="4">
        <v>45664</v>
      </c>
      <c r="B52" s="3" t="s">
        <v>87</v>
      </c>
      <c r="C52" s="5"/>
      <c r="D52" s="5"/>
      <c r="E52" s="5">
        <v>125000</v>
      </c>
      <c r="F52" s="22">
        <f t="shared" si="0"/>
        <v>2550</v>
      </c>
    </row>
    <row r="53" spans="1:6" x14ac:dyDescent="0.25">
      <c r="A53" s="4">
        <v>45665</v>
      </c>
      <c r="B53" s="3" t="s">
        <v>88</v>
      </c>
      <c r="C53" s="5"/>
      <c r="D53" s="5"/>
      <c r="E53" s="5">
        <v>2500</v>
      </c>
      <c r="F53" s="22">
        <f t="shared" si="0"/>
        <v>50</v>
      </c>
    </row>
    <row r="54" spans="1:6" x14ac:dyDescent="0.25">
      <c r="A54" s="4">
        <v>45667</v>
      </c>
      <c r="B54" s="3" t="s">
        <v>84</v>
      </c>
      <c r="C54" s="5"/>
      <c r="D54" s="5"/>
      <c r="E54" s="5">
        <v>25000</v>
      </c>
      <c r="F54" s="22">
        <f t="shared" si="0"/>
        <v>-24950</v>
      </c>
    </row>
    <row r="55" spans="1:6" x14ac:dyDescent="0.25">
      <c r="A55" s="4">
        <v>45667</v>
      </c>
      <c r="B55" s="3" t="s">
        <v>89</v>
      </c>
      <c r="C55" s="5"/>
      <c r="D55" s="5"/>
      <c r="E55" s="5">
        <v>25000</v>
      </c>
      <c r="F55" s="22">
        <f t="shared" si="0"/>
        <v>-49950</v>
      </c>
    </row>
    <row r="56" spans="1:6" x14ac:dyDescent="0.25">
      <c r="A56" s="31">
        <v>45665</v>
      </c>
      <c r="B56" s="32" t="s">
        <v>90</v>
      </c>
      <c r="C56" s="33"/>
      <c r="D56" s="33">
        <v>33000</v>
      </c>
      <c r="E56" s="25"/>
      <c r="F56" s="22">
        <f t="shared" si="0"/>
        <v>-82950</v>
      </c>
    </row>
    <row r="57" spans="1:6" x14ac:dyDescent="0.25">
      <c r="A57" s="23">
        <v>45670</v>
      </c>
      <c r="B57" s="24" t="s">
        <v>92</v>
      </c>
      <c r="C57" s="25"/>
      <c r="D57" s="25"/>
      <c r="E57" s="25">
        <v>1600</v>
      </c>
      <c r="F57" s="22">
        <f t="shared" si="0"/>
        <v>-84550</v>
      </c>
    </row>
    <row r="58" spans="1:6" x14ac:dyDescent="0.25">
      <c r="A58" s="23">
        <v>45671</v>
      </c>
      <c r="B58" s="24" t="s">
        <v>94</v>
      </c>
      <c r="C58" s="25"/>
      <c r="D58" s="25"/>
      <c r="E58" s="25">
        <v>1600</v>
      </c>
      <c r="F58" s="22">
        <f t="shared" si="0"/>
        <v>-86150</v>
      </c>
    </row>
    <row r="59" spans="1:6" x14ac:dyDescent="0.25">
      <c r="A59" s="23">
        <v>45673</v>
      </c>
      <c r="B59" s="24" t="s">
        <v>104</v>
      </c>
      <c r="C59" s="25">
        <v>100000</v>
      </c>
      <c r="D59" s="25"/>
      <c r="E59" s="25"/>
      <c r="F59" s="22">
        <f t="shared" si="0"/>
        <v>13850</v>
      </c>
    </row>
    <row r="60" spans="1:6" x14ac:dyDescent="0.25">
      <c r="A60" s="23">
        <v>45677</v>
      </c>
      <c r="B60" s="24" t="s">
        <v>99</v>
      </c>
      <c r="C60" s="25">
        <v>100000</v>
      </c>
      <c r="D60" s="25"/>
      <c r="E60" s="25"/>
      <c r="F60" s="22">
        <f t="shared" si="0"/>
        <v>113850</v>
      </c>
    </row>
    <row r="61" spans="1:6" x14ac:dyDescent="0.25">
      <c r="A61" s="23">
        <v>45677</v>
      </c>
      <c r="B61" s="24" t="s">
        <v>101</v>
      </c>
      <c r="C61" s="25"/>
      <c r="D61" s="25"/>
      <c r="E61" s="25">
        <v>133000</v>
      </c>
      <c r="F61" s="22">
        <f t="shared" si="0"/>
        <v>-19150</v>
      </c>
    </row>
    <row r="62" spans="1:6" x14ac:dyDescent="0.25">
      <c r="A62" s="23">
        <v>45677</v>
      </c>
      <c r="B62" s="24" t="s">
        <v>85</v>
      </c>
      <c r="C62" s="25"/>
      <c r="D62" s="25"/>
      <c r="E62" s="25">
        <v>4000</v>
      </c>
      <c r="F62" s="22">
        <f t="shared" si="0"/>
        <v>-23150</v>
      </c>
    </row>
    <row r="63" spans="1:6" x14ac:dyDescent="0.25">
      <c r="A63" s="23">
        <v>45682</v>
      </c>
      <c r="B63" s="24" t="s">
        <v>100</v>
      </c>
      <c r="C63" s="25"/>
      <c r="D63" s="25"/>
      <c r="E63" s="25">
        <v>3000</v>
      </c>
      <c r="F63" s="22">
        <f t="shared" si="0"/>
        <v>-26150</v>
      </c>
    </row>
    <row r="64" spans="1:6" x14ac:dyDescent="0.25">
      <c r="A64" s="23">
        <v>45683</v>
      </c>
      <c r="B64" s="24" t="s">
        <v>105</v>
      </c>
      <c r="C64" s="25"/>
      <c r="D64" s="25"/>
      <c r="E64" s="25">
        <v>4000</v>
      </c>
      <c r="F64" s="22">
        <f t="shared" si="0"/>
        <v>-30150</v>
      </c>
    </row>
    <row r="65" spans="1:6" x14ac:dyDescent="0.25">
      <c r="A65" s="23">
        <v>45685</v>
      </c>
      <c r="B65" s="24" t="s">
        <v>102</v>
      </c>
      <c r="C65" s="25"/>
      <c r="D65" s="25"/>
      <c r="E65" s="25">
        <v>1000</v>
      </c>
      <c r="F65" s="22">
        <f t="shared" si="0"/>
        <v>-31150</v>
      </c>
    </row>
    <row r="66" spans="1:6" x14ac:dyDescent="0.25">
      <c r="A66" s="31">
        <v>45688</v>
      </c>
      <c r="B66" s="32" t="s">
        <v>103</v>
      </c>
      <c r="C66" s="33"/>
      <c r="D66" s="33">
        <v>74400</v>
      </c>
      <c r="E66" s="25"/>
      <c r="F66" s="22">
        <f t="shared" si="0"/>
        <v>-105550</v>
      </c>
    </row>
    <row r="67" spans="1:6" x14ac:dyDescent="0.25">
      <c r="A67" s="23">
        <v>45700</v>
      </c>
      <c r="B67" s="24" t="s">
        <v>106</v>
      </c>
      <c r="C67" s="25">
        <v>262430</v>
      </c>
      <c r="D67" s="25"/>
      <c r="E67" s="25"/>
      <c r="F67" s="22">
        <f t="shared" ref="F67:F102" si="1">+F66+C67-D67-E67</f>
        <v>156880</v>
      </c>
    </row>
    <row r="68" spans="1:6" x14ac:dyDescent="0.25">
      <c r="A68" s="23">
        <v>45700</v>
      </c>
      <c r="B68" s="24" t="s">
        <v>85</v>
      </c>
      <c r="C68" s="25"/>
      <c r="D68" s="25"/>
      <c r="E68" s="25">
        <v>5500</v>
      </c>
      <c r="F68" s="22">
        <f t="shared" si="1"/>
        <v>151380</v>
      </c>
    </row>
    <row r="69" spans="1:6" x14ac:dyDescent="0.25">
      <c r="A69" s="23">
        <v>45700</v>
      </c>
      <c r="B69" s="24" t="s">
        <v>107</v>
      </c>
      <c r="C69" s="25"/>
      <c r="D69" s="25"/>
      <c r="E69" s="25">
        <v>125000</v>
      </c>
      <c r="F69" s="22">
        <f t="shared" si="1"/>
        <v>26380</v>
      </c>
    </row>
    <row r="70" spans="1:6" x14ac:dyDescent="0.25">
      <c r="A70" s="23">
        <v>45702</v>
      </c>
      <c r="B70" s="24" t="s">
        <v>82</v>
      </c>
      <c r="C70" s="25"/>
      <c r="D70" s="25"/>
      <c r="E70" s="25">
        <v>20000</v>
      </c>
      <c r="F70" s="22">
        <f t="shared" si="1"/>
        <v>6380</v>
      </c>
    </row>
    <row r="71" spans="1:6" x14ac:dyDescent="0.25">
      <c r="A71" s="23">
        <v>45702</v>
      </c>
      <c r="B71" s="24" t="s">
        <v>108</v>
      </c>
      <c r="C71" s="25"/>
      <c r="D71" s="25"/>
      <c r="E71" s="25">
        <v>93411</v>
      </c>
      <c r="F71" s="22">
        <f t="shared" si="1"/>
        <v>-87031</v>
      </c>
    </row>
    <row r="72" spans="1:6" x14ac:dyDescent="0.25">
      <c r="A72" s="23">
        <v>45704</v>
      </c>
      <c r="B72" s="24" t="s">
        <v>109</v>
      </c>
      <c r="C72" s="25"/>
      <c r="D72" s="25"/>
      <c r="E72" s="25">
        <v>6000</v>
      </c>
      <c r="F72" s="22">
        <f t="shared" si="1"/>
        <v>-93031</v>
      </c>
    </row>
    <row r="73" spans="1:6" x14ac:dyDescent="0.25">
      <c r="A73" s="23">
        <v>45728</v>
      </c>
      <c r="B73" s="24" t="s">
        <v>104</v>
      </c>
      <c r="C73" s="25">
        <v>200075</v>
      </c>
      <c r="D73" s="25"/>
      <c r="E73" s="25"/>
      <c r="F73" s="22">
        <f t="shared" si="1"/>
        <v>107044</v>
      </c>
    </row>
    <row r="74" spans="1:6" x14ac:dyDescent="0.25">
      <c r="A74" s="23">
        <v>45728</v>
      </c>
      <c r="B74" s="24" t="s">
        <v>85</v>
      </c>
      <c r="C74" s="25"/>
      <c r="D74" s="25"/>
      <c r="E74" s="25">
        <v>4001</v>
      </c>
      <c r="F74" s="22">
        <f t="shared" si="1"/>
        <v>103043</v>
      </c>
    </row>
    <row r="75" spans="1:6" x14ac:dyDescent="0.25">
      <c r="A75" s="23">
        <v>45731</v>
      </c>
      <c r="B75" s="24" t="s">
        <v>113</v>
      </c>
      <c r="C75" s="25"/>
      <c r="D75" s="25">
        <v>230000</v>
      </c>
      <c r="E75" s="25"/>
      <c r="F75" s="22">
        <f t="shared" si="1"/>
        <v>-126957</v>
      </c>
    </row>
    <row r="76" spans="1:6" x14ac:dyDescent="0.25">
      <c r="A76" s="23">
        <v>45737</v>
      </c>
      <c r="B76" s="24" t="s">
        <v>134</v>
      </c>
      <c r="C76" s="25"/>
      <c r="D76" s="25"/>
      <c r="E76" s="25">
        <v>23500</v>
      </c>
      <c r="F76" s="22">
        <f t="shared" si="1"/>
        <v>-150457</v>
      </c>
    </row>
    <row r="77" spans="1:6" x14ac:dyDescent="0.25">
      <c r="A77" s="23">
        <v>45760</v>
      </c>
      <c r="B77" s="24" t="s">
        <v>150</v>
      </c>
      <c r="C77" s="25">
        <v>152619</v>
      </c>
      <c r="D77" s="25"/>
      <c r="E77" s="25"/>
      <c r="F77" s="22">
        <f t="shared" si="1"/>
        <v>2162</v>
      </c>
    </row>
    <row r="78" spans="1:6" x14ac:dyDescent="0.25">
      <c r="A78" s="23">
        <v>45772</v>
      </c>
      <c r="B78" s="37" t="s">
        <v>154</v>
      </c>
      <c r="C78" s="25"/>
      <c r="D78" s="48">
        <v>14140</v>
      </c>
      <c r="E78" s="25"/>
      <c r="F78" s="22">
        <f t="shared" si="1"/>
        <v>-11978</v>
      </c>
    </row>
    <row r="79" spans="1:6" x14ac:dyDescent="0.25">
      <c r="A79" s="23">
        <v>45776</v>
      </c>
      <c r="B79" s="37" t="s">
        <v>155</v>
      </c>
      <c r="C79" s="25"/>
      <c r="D79" s="48">
        <v>16000</v>
      </c>
      <c r="E79" s="25"/>
      <c r="F79" s="22">
        <f t="shared" si="1"/>
        <v>-27978</v>
      </c>
    </row>
    <row r="80" spans="1:6" x14ac:dyDescent="0.25">
      <c r="A80" s="23">
        <v>45776</v>
      </c>
      <c r="B80" s="24" t="s">
        <v>156</v>
      </c>
      <c r="C80" s="25"/>
      <c r="D80" s="25"/>
      <c r="E80" s="25">
        <v>7900</v>
      </c>
      <c r="F80" s="22">
        <f t="shared" si="1"/>
        <v>-35878</v>
      </c>
    </row>
    <row r="81" spans="1:6" x14ac:dyDescent="0.25">
      <c r="A81" s="23">
        <v>45766</v>
      </c>
      <c r="B81" s="24" t="s">
        <v>159</v>
      </c>
      <c r="C81" s="25"/>
      <c r="D81" s="48">
        <v>74400</v>
      </c>
      <c r="E81" s="25"/>
      <c r="F81" s="22">
        <f t="shared" si="1"/>
        <v>-110278</v>
      </c>
    </row>
    <row r="82" spans="1:6" x14ac:dyDescent="0.25">
      <c r="A82" s="23">
        <v>45769</v>
      </c>
      <c r="B82" s="24" t="s">
        <v>157</v>
      </c>
      <c r="C82" s="25"/>
      <c r="D82" s="25"/>
      <c r="E82" s="25">
        <v>11000</v>
      </c>
      <c r="F82" s="22">
        <f t="shared" si="1"/>
        <v>-121278</v>
      </c>
    </row>
    <row r="83" spans="1:6" x14ac:dyDescent="0.25">
      <c r="A83" s="23">
        <v>45768</v>
      </c>
      <c r="B83" s="24" t="s">
        <v>158</v>
      </c>
      <c r="C83" s="25"/>
      <c r="D83" s="25"/>
      <c r="E83" s="25">
        <v>22500</v>
      </c>
      <c r="F83" s="22">
        <f t="shared" si="1"/>
        <v>-143778</v>
      </c>
    </row>
    <row r="84" spans="1:6" x14ac:dyDescent="0.25">
      <c r="A84" s="23">
        <v>45791</v>
      </c>
      <c r="B84" s="24" t="s">
        <v>160</v>
      </c>
      <c r="C84" s="25"/>
      <c r="D84" s="25"/>
      <c r="E84" s="25">
        <v>9500</v>
      </c>
      <c r="F84" s="22">
        <f t="shared" si="1"/>
        <v>-153278</v>
      </c>
    </row>
    <row r="85" spans="1:6" x14ac:dyDescent="0.25">
      <c r="A85" s="23">
        <v>45795</v>
      </c>
      <c r="B85" s="24" t="s">
        <v>196</v>
      </c>
      <c r="C85" s="25"/>
      <c r="D85" s="25"/>
      <c r="E85" s="25">
        <v>15000</v>
      </c>
      <c r="F85" s="22">
        <f t="shared" si="1"/>
        <v>-168278</v>
      </c>
    </row>
    <row r="86" spans="1:6" x14ac:dyDescent="0.25">
      <c r="A86" s="23">
        <v>45798</v>
      </c>
      <c r="B86" s="24" t="s">
        <v>161</v>
      </c>
      <c r="C86" s="25">
        <v>219404</v>
      </c>
      <c r="D86" s="25"/>
      <c r="E86" s="25"/>
      <c r="F86" s="22">
        <f t="shared" si="1"/>
        <v>51126</v>
      </c>
    </row>
    <row r="87" spans="1:6" x14ac:dyDescent="0.25">
      <c r="A87" s="23">
        <v>45798</v>
      </c>
      <c r="B87" s="24" t="s">
        <v>85</v>
      </c>
      <c r="C87" s="25"/>
      <c r="D87" s="25"/>
      <c r="E87" s="25">
        <v>4500</v>
      </c>
      <c r="F87" s="22">
        <f t="shared" si="1"/>
        <v>46626</v>
      </c>
    </row>
    <row r="88" spans="1:6" x14ac:dyDescent="0.25">
      <c r="A88" s="23">
        <v>45814</v>
      </c>
      <c r="B88" s="24" t="s">
        <v>165</v>
      </c>
      <c r="C88" s="25"/>
      <c r="D88" s="25"/>
      <c r="E88" s="25">
        <v>45000</v>
      </c>
      <c r="F88" s="22">
        <f t="shared" si="1"/>
        <v>1626</v>
      </c>
    </row>
    <row r="89" spans="1:6" x14ac:dyDescent="0.25">
      <c r="A89" s="23">
        <v>45812</v>
      </c>
      <c r="B89" s="37" t="s">
        <v>166</v>
      </c>
      <c r="C89" s="25"/>
      <c r="D89" s="48">
        <v>83500</v>
      </c>
      <c r="E89" s="25"/>
      <c r="F89" s="22">
        <f t="shared" si="1"/>
        <v>-81874</v>
      </c>
    </row>
    <row r="90" spans="1:6" x14ac:dyDescent="0.25">
      <c r="A90" s="23">
        <v>45818</v>
      </c>
      <c r="B90" s="24" t="s">
        <v>167</v>
      </c>
      <c r="C90" s="25"/>
      <c r="D90" s="25"/>
      <c r="E90" s="25">
        <v>14029</v>
      </c>
      <c r="F90" s="22">
        <f t="shared" si="1"/>
        <v>-95903</v>
      </c>
    </row>
    <row r="91" spans="1:6" x14ac:dyDescent="0.25">
      <c r="A91" s="23">
        <v>45822</v>
      </c>
      <c r="B91" s="24" t="s">
        <v>168</v>
      </c>
      <c r="C91" s="25">
        <v>226000</v>
      </c>
      <c r="D91" s="25"/>
      <c r="E91" s="25"/>
      <c r="F91" s="22">
        <f t="shared" si="1"/>
        <v>130097</v>
      </c>
    </row>
    <row r="92" spans="1:6" x14ac:dyDescent="0.25">
      <c r="A92" s="23">
        <v>45823</v>
      </c>
      <c r="B92" s="24" t="s">
        <v>85</v>
      </c>
      <c r="C92" s="25"/>
      <c r="D92" s="25"/>
      <c r="E92" s="25">
        <v>4520</v>
      </c>
      <c r="F92" s="22">
        <f t="shared" si="1"/>
        <v>125577</v>
      </c>
    </row>
    <row r="93" spans="1:6" x14ac:dyDescent="0.25">
      <c r="A93" s="23">
        <v>45823</v>
      </c>
      <c r="B93" s="24" t="s">
        <v>197</v>
      </c>
      <c r="C93" s="25"/>
      <c r="D93" s="25"/>
      <c r="E93" s="25">
        <v>10000</v>
      </c>
      <c r="F93" s="22">
        <f t="shared" si="1"/>
        <v>115577</v>
      </c>
    </row>
    <row r="94" spans="1:6" x14ac:dyDescent="0.25">
      <c r="A94" s="23">
        <v>45823</v>
      </c>
      <c r="B94" s="24" t="s">
        <v>170</v>
      </c>
      <c r="C94" s="25"/>
      <c r="D94" s="25"/>
      <c r="E94" s="25">
        <v>41500</v>
      </c>
      <c r="F94" s="22">
        <f t="shared" si="1"/>
        <v>74077</v>
      </c>
    </row>
    <row r="95" spans="1:6" x14ac:dyDescent="0.25">
      <c r="A95" s="23">
        <v>45823</v>
      </c>
      <c r="B95" s="24" t="s">
        <v>169</v>
      </c>
      <c r="C95" s="25"/>
      <c r="D95" s="25"/>
      <c r="E95" s="25">
        <v>600</v>
      </c>
      <c r="F95" s="22">
        <f t="shared" si="1"/>
        <v>73477</v>
      </c>
    </row>
    <row r="96" spans="1:6" x14ac:dyDescent="0.25">
      <c r="A96" s="23">
        <v>45825</v>
      </c>
      <c r="B96" s="37" t="s">
        <v>175</v>
      </c>
      <c r="C96" s="48"/>
      <c r="D96" s="48">
        <v>14650</v>
      </c>
      <c r="E96" s="25"/>
      <c r="F96" s="22">
        <f t="shared" si="1"/>
        <v>58827</v>
      </c>
    </row>
    <row r="97" spans="1:9" x14ac:dyDescent="0.25">
      <c r="A97" s="23">
        <v>45825</v>
      </c>
      <c r="B97" s="37" t="s">
        <v>176</v>
      </c>
      <c r="C97" s="48"/>
      <c r="D97" s="48">
        <v>19000</v>
      </c>
      <c r="E97" s="25"/>
      <c r="F97" s="22">
        <f t="shared" si="1"/>
        <v>39827</v>
      </c>
    </row>
    <row r="98" spans="1:9" x14ac:dyDescent="0.25">
      <c r="A98" s="23">
        <v>45826</v>
      </c>
      <c r="B98" s="24" t="s">
        <v>177</v>
      </c>
      <c r="C98" s="25"/>
      <c r="D98" s="25"/>
      <c r="E98" s="25">
        <v>18500</v>
      </c>
      <c r="F98" s="22">
        <f t="shared" si="1"/>
        <v>21327</v>
      </c>
    </row>
    <row r="99" spans="1:9" x14ac:dyDescent="0.25">
      <c r="A99" s="23">
        <v>45827</v>
      </c>
      <c r="B99" s="24" t="s">
        <v>178</v>
      </c>
      <c r="C99" s="25"/>
      <c r="D99" s="25"/>
      <c r="E99" s="25">
        <v>5500</v>
      </c>
      <c r="F99" s="22">
        <f t="shared" si="1"/>
        <v>15827</v>
      </c>
    </row>
    <row r="100" spans="1:9" x14ac:dyDescent="0.25">
      <c r="A100" s="23">
        <v>45834</v>
      </c>
      <c r="B100" s="24" t="s">
        <v>81</v>
      </c>
      <c r="C100" s="25"/>
      <c r="D100" s="25"/>
      <c r="E100" s="25">
        <v>15000</v>
      </c>
      <c r="F100" s="22">
        <f t="shared" si="1"/>
        <v>827</v>
      </c>
    </row>
    <row r="101" spans="1:9" x14ac:dyDescent="0.25">
      <c r="A101" s="23">
        <v>45837</v>
      </c>
      <c r="B101" s="24" t="s">
        <v>181</v>
      </c>
      <c r="C101" s="25"/>
      <c r="D101" s="25"/>
      <c r="E101" s="25">
        <v>3100</v>
      </c>
      <c r="F101" s="22">
        <f t="shared" si="1"/>
        <v>-2273</v>
      </c>
    </row>
    <row r="102" spans="1:9" x14ac:dyDescent="0.25">
      <c r="A102" s="23">
        <v>45853</v>
      </c>
      <c r="B102" s="37" t="s">
        <v>166</v>
      </c>
      <c r="C102" s="25"/>
      <c r="D102" s="48">
        <v>88850</v>
      </c>
      <c r="E102" s="25"/>
      <c r="F102" s="22">
        <f t="shared" si="1"/>
        <v>-91123</v>
      </c>
    </row>
    <row r="103" spans="1:9" x14ac:dyDescent="0.25">
      <c r="A103" s="23">
        <v>45859</v>
      </c>
      <c r="B103" s="24" t="s">
        <v>305</v>
      </c>
      <c r="C103" s="25">
        <v>218770</v>
      </c>
      <c r="D103" s="25"/>
      <c r="E103" s="25"/>
      <c r="F103" s="22"/>
    </row>
    <row r="104" spans="1:9" x14ac:dyDescent="0.25">
      <c r="A104" s="23">
        <v>45859</v>
      </c>
      <c r="B104" s="24" t="s">
        <v>188</v>
      </c>
      <c r="C104" s="25"/>
      <c r="D104" s="25"/>
      <c r="E104" s="25">
        <v>4500</v>
      </c>
      <c r="F104" s="22"/>
    </row>
    <row r="105" spans="1:9" x14ac:dyDescent="0.25">
      <c r="A105" s="23">
        <v>45859</v>
      </c>
      <c r="B105" s="24" t="s">
        <v>189</v>
      </c>
      <c r="C105" s="25"/>
      <c r="D105" s="25"/>
      <c r="E105" s="25">
        <v>10140</v>
      </c>
      <c r="F105" s="22"/>
    </row>
    <row r="106" spans="1:9" x14ac:dyDescent="0.25">
      <c r="A106" s="23">
        <v>45859</v>
      </c>
      <c r="B106" s="24" t="s">
        <v>190</v>
      </c>
      <c r="C106" s="25"/>
      <c r="D106" s="25"/>
      <c r="E106" s="25">
        <v>50000</v>
      </c>
      <c r="F106" s="22"/>
    </row>
    <row r="107" spans="1:9" x14ac:dyDescent="0.25">
      <c r="A107" s="23">
        <v>45859</v>
      </c>
      <c r="B107" s="24" t="s">
        <v>191</v>
      </c>
      <c r="C107" s="25"/>
      <c r="D107" s="25"/>
      <c r="E107" s="25">
        <v>15000</v>
      </c>
      <c r="F107" s="22"/>
    </row>
    <row r="108" spans="1:9" x14ac:dyDescent="0.25">
      <c r="A108" s="23">
        <v>45864</v>
      </c>
      <c r="B108" s="24" t="s">
        <v>192</v>
      </c>
      <c r="C108" s="25"/>
      <c r="D108" s="25"/>
      <c r="E108" s="25">
        <v>8000</v>
      </c>
      <c r="F108" s="22"/>
    </row>
    <row r="109" spans="1:9" x14ac:dyDescent="0.25">
      <c r="A109" s="23">
        <v>45864</v>
      </c>
      <c r="B109" s="37" t="s">
        <v>193</v>
      </c>
      <c r="C109" s="25"/>
      <c r="D109" s="48">
        <v>19000</v>
      </c>
      <c r="E109" s="25"/>
      <c r="F109" s="22"/>
      <c r="G109" s="51"/>
      <c r="H109" s="50"/>
      <c r="I109" s="50"/>
    </row>
    <row r="110" spans="1:9" x14ac:dyDescent="0.25">
      <c r="A110" s="23">
        <v>45866</v>
      </c>
      <c r="B110" s="24" t="s">
        <v>194</v>
      </c>
      <c r="C110" s="25"/>
      <c r="D110" s="25"/>
      <c r="E110" s="25">
        <v>15000</v>
      </c>
      <c r="F110" s="22"/>
    </row>
    <row r="111" spans="1:9" x14ac:dyDescent="0.25">
      <c r="A111" s="23">
        <v>45866</v>
      </c>
      <c r="B111" s="24" t="s">
        <v>195</v>
      </c>
      <c r="C111" s="25"/>
      <c r="D111" s="25"/>
      <c r="E111" s="25">
        <v>7000</v>
      </c>
      <c r="F111" s="22"/>
    </row>
    <row r="112" spans="1:9" x14ac:dyDescent="0.25">
      <c r="A112" s="23">
        <v>45884</v>
      </c>
      <c r="B112" s="24" t="s">
        <v>304</v>
      </c>
      <c r="C112" s="25">
        <v>240530</v>
      </c>
      <c r="D112" s="25"/>
      <c r="E112" s="25"/>
      <c r="F112" s="22"/>
    </row>
    <row r="113" spans="1:21" x14ac:dyDescent="0.25">
      <c r="A113" s="23">
        <v>45885</v>
      </c>
      <c r="B113" s="24" t="s">
        <v>199</v>
      </c>
      <c r="C113" s="25"/>
      <c r="D113" s="25"/>
      <c r="E113" s="25">
        <v>16200</v>
      </c>
      <c r="F113" s="22"/>
    </row>
    <row r="114" spans="1:21" x14ac:dyDescent="0.25">
      <c r="A114" s="23">
        <v>45885</v>
      </c>
      <c r="B114" s="24" t="s">
        <v>200</v>
      </c>
      <c r="C114" s="25"/>
      <c r="D114" s="25"/>
      <c r="E114" s="25">
        <v>10000</v>
      </c>
      <c r="F114" s="22"/>
    </row>
    <row r="115" spans="1:21" x14ac:dyDescent="0.25">
      <c r="A115" s="23">
        <v>45885</v>
      </c>
      <c r="B115" s="24" t="s">
        <v>85</v>
      </c>
      <c r="C115" s="25"/>
      <c r="D115" s="25"/>
      <c r="E115" s="25">
        <v>5000</v>
      </c>
      <c r="F115" s="22"/>
    </row>
    <row r="116" spans="1:21" x14ac:dyDescent="0.25">
      <c r="A116" s="23">
        <v>45885</v>
      </c>
      <c r="B116" s="24" t="s">
        <v>201</v>
      </c>
      <c r="C116" s="25"/>
      <c r="D116" s="25"/>
      <c r="E116" s="25">
        <v>1000</v>
      </c>
      <c r="F116" s="22"/>
    </row>
    <row r="117" spans="1:21" x14ac:dyDescent="0.25">
      <c r="A117" s="23">
        <v>45885</v>
      </c>
      <c r="B117" s="24" t="s">
        <v>202</v>
      </c>
      <c r="C117" s="25"/>
      <c r="D117" s="25"/>
      <c r="E117" s="25">
        <v>6750</v>
      </c>
      <c r="F117" s="22"/>
    </row>
    <row r="118" spans="1:21" x14ac:dyDescent="0.25">
      <c r="A118" s="23">
        <v>45886</v>
      </c>
      <c r="B118" s="37" t="s">
        <v>203</v>
      </c>
      <c r="C118" s="25"/>
      <c r="D118" s="48">
        <v>19380</v>
      </c>
      <c r="E118" s="25"/>
      <c r="F118" s="22"/>
    </row>
    <row r="119" spans="1:21" x14ac:dyDescent="0.25">
      <c r="A119" s="23">
        <v>45886</v>
      </c>
      <c r="B119" s="24" t="s">
        <v>204</v>
      </c>
      <c r="C119" s="25"/>
      <c r="D119" s="25"/>
      <c r="E119" s="25">
        <v>3000</v>
      </c>
      <c r="F119" s="22"/>
    </row>
    <row r="120" spans="1:21" x14ac:dyDescent="0.25">
      <c r="A120" s="23">
        <v>45706</v>
      </c>
      <c r="B120" s="24" t="s">
        <v>205</v>
      </c>
      <c r="C120" s="48"/>
      <c r="D120" s="48"/>
      <c r="E120" s="25">
        <v>8000</v>
      </c>
      <c r="F120" s="22"/>
      <c r="Q120" s="46"/>
      <c r="R120" s="46" t="s">
        <v>239</v>
      </c>
      <c r="S120" s="46"/>
      <c r="T120" s="46">
        <v>150000</v>
      </c>
      <c r="U120" s="46"/>
    </row>
    <row r="121" spans="1:21" x14ac:dyDescent="0.25">
      <c r="A121" s="23">
        <v>45898</v>
      </c>
      <c r="B121" s="37" t="s">
        <v>206</v>
      </c>
      <c r="C121" s="48"/>
      <c r="D121" s="48">
        <v>51000</v>
      </c>
      <c r="E121" s="25"/>
      <c r="F121" s="22"/>
      <c r="R121" t="s">
        <v>225</v>
      </c>
      <c r="T121">
        <v>29500</v>
      </c>
    </row>
    <row r="122" spans="1:21" x14ac:dyDescent="0.25">
      <c r="A122" s="23">
        <v>45898</v>
      </c>
      <c r="B122" s="37" t="s">
        <v>207</v>
      </c>
      <c r="C122" s="48"/>
      <c r="D122" s="48">
        <v>19000</v>
      </c>
      <c r="E122" s="25"/>
      <c r="F122" s="22"/>
      <c r="S122" t="s">
        <v>226</v>
      </c>
      <c r="T122">
        <v>45500</v>
      </c>
    </row>
    <row r="123" spans="1:21" x14ac:dyDescent="0.25">
      <c r="A123" s="23">
        <v>45904</v>
      </c>
      <c r="B123" s="24" t="s">
        <v>202</v>
      </c>
      <c r="C123" s="25"/>
      <c r="D123" s="25"/>
      <c r="E123" s="25">
        <v>31000</v>
      </c>
      <c r="F123" s="22"/>
      <c r="S123" t="s">
        <v>227</v>
      </c>
      <c r="T123">
        <v>24500</v>
      </c>
    </row>
    <row r="124" spans="1:21" x14ac:dyDescent="0.25">
      <c r="A124" s="23">
        <v>45905</v>
      </c>
      <c r="B124" s="24" t="s">
        <v>93</v>
      </c>
      <c r="C124" s="25"/>
      <c r="D124" s="25"/>
      <c r="E124" s="25">
        <v>10000</v>
      </c>
      <c r="F124" s="22"/>
      <c r="S124" t="s">
        <v>228</v>
      </c>
      <c r="T124">
        <v>70000</v>
      </c>
    </row>
    <row r="125" spans="1:21" x14ac:dyDescent="0.25">
      <c r="A125" s="23">
        <v>45908</v>
      </c>
      <c r="B125" s="24" t="s">
        <v>211</v>
      </c>
      <c r="C125" s="25"/>
      <c r="D125" s="25"/>
      <c r="E125" s="25">
        <v>2500</v>
      </c>
      <c r="F125" s="22"/>
      <c r="H125" s="42"/>
      <c r="I125" s="42"/>
      <c r="J125" s="42"/>
      <c r="K125" s="42"/>
      <c r="L125" s="42"/>
      <c r="M125" s="43"/>
      <c r="R125" t="s">
        <v>224</v>
      </c>
      <c r="T125">
        <v>80000</v>
      </c>
    </row>
    <row r="126" spans="1:21" x14ac:dyDescent="0.25">
      <c r="A126" s="23">
        <v>45918</v>
      </c>
      <c r="B126" s="37" t="s">
        <v>303</v>
      </c>
      <c r="C126" s="25">
        <v>217250</v>
      </c>
      <c r="D126" s="25"/>
      <c r="E126" s="25"/>
      <c r="F126" s="22"/>
      <c r="H126" s="42"/>
      <c r="I126" s="42"/>
      <c r="J126" s="42"/>
      <c r="K126" s="42"/>
      <c r="L126" s="42"/>
      <c r="M126" s="42"/>
      <c r="Q126" s="41"/>
      <c r="R126" s="41" t="s">
        <v>226</v>
      </c>
      <c r="S126" s="41"/>
      <c r="T126" s="41">
        <v>150000</v>
      </c>
    </row>
    <row r="127" spans="1:21" x14ac:dyDescent="0.25">
      <c r="A127" s="23">
        <v>45918</v>
      </c>
      <c r="B127" s="24" t="s">
        <v>188</v>
      </c>
      <c r="C127" s="25"/>
      <c r="D127" s="25"/>
      <c r="E127" s="25">
        <v>4500</v>
      </c>
      <c r="F127" s="22"/>
      <c r="Q127" s="41"/>
      <c r="R127" s="41" t="s">
        <v>236</v>
      </c>
      <c r="S127" s="41"/>
      <c r="T127" s="41">
        <v>88000</v>
      </c>
      <c r="U127">
        <v>-27000</v>
      </c>
    </row>
    <row r="128" spans="1:21" x14ac:dyDescent="0.25">
      <c r="A128" s="23">
        <v>45918</v>
      </c>
      <c r="B128" s="24" t="s">
        <v>212</v>
      </c>
      <c r="C128" s="25"/>
      <c r="D128" s="25"/>
      <c r="E128" s="25">
        <v>15700</v>
      </c>
      <c r="F128" s="22"/>
      <c r="Q128" s="41"/>
      <c r="R128" s="41" t="s">
        <v>237</v>
      </c>
      <c r="S128" s="41"/>
      <c r="T128" s="41">
        <v>17500</v>
      </c>
    </row>
    <row r="129" spans="1:21" x14ac:dyDescent="0.25">
      <c r="A129" s="23">
        <v>45926</v>
      </c>
      <c r="B129" s="24" t="s">
        <v>222</v>
      </c>
      <c r="C129" s="25"/>
      <c r="D129" s="25"/>
      <c r="E129" s="25">
        <v>25000</v>
      </c>
      <c r="F129" s="22"/>
      <c r="Q129" s="41"/>
      <c r="R129" s="41" t="s">
        <v>232</v>
      </c>
      <c r="S129" s="41"/>
      <c r="T129" s="41">
        <v>44500</v>
      </c>
    </row>
    <row r="130" spans="1:21" x14ac:dyDescent="0.25">
      <c r="A130" s="23">
        <v>45926</v>
      </c>
      <c r="B130" s="24" t="s">
        <v>223</v>
      </c>
      <c r="C130" s="25"/>
      <c r="D130" s="25"/>
      <c r="E130" s="25">
        <v>7000</v>
      </c>
      <c r="F130" s="22"/>
      <c r="R130" t="s">
        <v>238</v>
      </c>
      <c r="T130">
        <v>27000</v>
      </c>
    </row>
    <row r="131" spans="1:21" x14ac:dyDescent="0.25">
      <c r="A131" s="23">
        <v>45934</v>
      </c>
      <c r="B131" s="37" t="s">
        <v>319</v>
      </c>
      <c r="C131" s="25"/>
      <c r="D131" s="48">
        <v>81600</v>
      </c>
      <c r="E131" s="25"/>
      <c r="F131" s="22"/>
      <c r="R131" t="s">
        <v>232</v>
      </c>
      <c r="T131">
        <v>71500</v>
      </c>
      <c r="U131">
        <v>61000</v>
      </c>
    </row>
    <row r="132" spans="1:21" x14ac:dyDescent="0.25">
      <c r="A132" s="23">
        <v>45938</v>
      </c>
      <c r="B132" s="24" t="s">
        <v>231</v>
      </c>
      <c r="C132" s="25"/>
      <c r="D132" s="25"/>
      <c r="E132" s="25">
        <v>3500</v>
      </c>
      <c r="F132" s="22"/>
      <c r="R132" t="s">
        <v>228</v>
      </c>
      <c r="T132">
        <v>132500</v>
      </c>
    </row>
    <row r="133" spans="1:21" x14ac:dyDescent="0.25">
      <c r="A133" s="23">
        <v>45945</v>
      </c>
      <c r="B133" s="24" t="s">
        <v>235</v>
      </c>
      <c r="C133" s="25"/>
      <c r="D133" s="25"/>
      <c r="E133" s="25">
        <v>17500</v>
      </c>
      <c r="F133" s="22"/>
      <c r="R133" t="s">
        <v>241</v>
      </c>
      <c r="T133">
        <v>5000</v>
      </c>
    </row>
    <row r="134" spans="1:21" x14ac:dyDescent="0.25">
      <c r="A134" s="23">
        <v>45945</v>
      </c>
      <c r="B134" s="24" t="s">
        <v>240</v>
      </c>
      <c r="C134" s="25"/>
      <c r="D134" s="25"/>
      <c r="E134" s="25">
        <v>88000</v>
      </c>
      <c r="F134" s="22"/>
      <c r="R134" t="s">
        <v>232</v>
      </c>
      <c r="T134">
        <v>127500</v>
      </c>
    </row>
    <row r="135" spans="1:21" x14ac:dyDescent="0.25">
      <c r="A135" s="23">
        <v>45948</v>
      </c>
      <c r="B135" s="24" t="s">
        <v>306</v>
      </c>
      <c r="C135" s="25">
        <v>225173</v>
      </c>
      <c r="D135" s="25"/>
      <c r="E135" s="25"/>
      <c r="F135" s="22"/>
      <c r="R135" t="s">
        <v>251</v>
      </c>
      <c r="T135">
        <v>20000</v>
      </c>
    </row>
    <row r="136" spans="1:21" x14ac:dyDescent="0.25">
      <c r="A136" s="23">
        <v>45948</v>
      </c>
      <c r="B136" s="24" t="s">
        <v>188</v>
      </c>
      <c r="C136" s="25"/>
      <c r="D136" s="25"/>
      <c r="E136" s="25">
        <v>4500</v>
      </c>
      <c r="F136" s="22"/>
      <c r="R136" t="s">
        <v>93</v>
      </c>
      <c r="T136">
        <v>30000</v>
      </c>
    </row>
    <row r="137" spans="1:21" x14ac:dyDescent="0.25">
      <c r="A137" s="23">
        <v>45949</v>
      </c>
      <c r="B137" s="24" t="s">
        <v>93</v>
      </c>
      <c r="C137" s="25"/>
      <c r="D137" s="25"/>
      <c r="E137" s="44">
        <v>33000</v>
      </c>
      <c r="F137" s="22"/>
      <c r="R137" t="s">
        <v>254</v>
      </c>
      <c r="T137">
        <v>10000</v>
      </c>
    </row>
    <row r="138" spans="1:21" x14ac:dyDescent="0.25">
      <c r="A138" s="23">
        <v>45952</v>
      </c>
      <c r="B138" s="24" t="s">
        <v>242</v>
      </c>
      <c r="C138" s="25">
        <v>27000</v>
      </c>
      <c r="D138" s="25"/>
      <c r="E138" s="25"/>
      <c r="F138" s="22"/>
      <c r="R138" t="s">
        <v>255</v>
      </c>
      <c r="T138">
        <v>67500</v>
      </c>
    </row>
    <row r="139" spans="1:21" x14ac:dyDescent="0.25">
      <c r="A139" s="23">
        <v>45953</v>
      </c>
      <c r="B139" s="24" t="s">
        <v>243</v>
      </c>
      <c r="C139" s="25"/>
      <c r="D139" s="25"/>
      <c r="E139" s="25">
        <v>5000</v>
      </c>
      <c r="F139" s="22"/>
      <c r="R139" t="s">
        <v>238</v>
      </c>
      <c r="T139">
        <v>5000</v>
      </c>
    </row>
    <row r="140" spans="1:21" x14ac:dyDescent="0.25">
      <c r="A140" s="23">
        <v>45966</v>
      </c>
      <c r="B140" s="24" t="s">
        <v>249</v>
      </c>
      <c r="C140" s="25"/>
      <c r="D140" s="25"/>
      <c r="E140" s="25">
        <v>12000</v>
      </c>
      <c r="F140" s="22"/>
    </row>
    <row r="141" spans="1:21" x14ac:dyDescent="0.25">
      <c r="A141" s="23">
        <v>45966</v>
      </c>
      <c r="B141" s="24" t="s">
        <v>248</v>
      </c>
      <c r="C141" s="25"/>
      <c r="D141" s="25"/>
      <c r="E141" s="25">
        <v>90000</v>
      </c>
      <c r="F141" s="22"/>
    </row>
    <row r="142" spans="1:21" x14ac:dyDescent="0.25">
      <c r="A142" s="23">
        <v>45966</v>
      </c>
      <c r="B142" s="24" t="s">
        <v>244</v>
      </c>
      <c r="C142" s="25"/>
      <c r="D142" s="25"/>
      <c r="E142" s="25">
        <v>7000</v>
      </c>
      <c r="F142" s="22"/>
    </row>
    <row r="143" spans="1:21" x14ac:dyDescent="0.25">
      <c r="A143" s="23">
        <v>45968</v>
      </c>
      <c r="B143" s="37" t="s">
        <v>245</v>
      </c>
      <c r="C143" s="25"/>
      <c r="D143" s="48">
        <v>14500</v>
      </c>
      <c r="E143" s="25"/>
      <c r="F143" s="22"/>
    </row>
    <row r="144" spans="1:21" x14ac:dyDescent="0.25">
      <c r="A144" s="23">
        <v>45969</v>
      </c>
      <c r="B144" s="37" t="s">
        <v>246</v>
      </c>
      <c r="C144" s="25"/>
      <c r="D144" s="48">
        <v>26600</v>
      </c>
      <c r="E144" s="25"/>
      <c r="F144" s="22"/>
      <c r="H144">
        <v>61</v>
      </c>
    </row>
    <row r="145" spans="1:18" x14ac:dyDescent="0.25">
      <c r="A145" s="23">
        <v>45971</v>
      </c>
      <c r="B145" s="24" t="s">
        <v>247</v>
      </c>
      <c r="C145" s="25"/>
      <c r="D145" s="25"/>
      <c r="E145" s="25">
        <v>30000</v>
      </c>
      <c r="F145" s="22"/>
    </row>
    <row r="146" spans="1:18" x14ac:dyDescent="0.25">
      <c r="A146" s="23">
        <v>45969</v>
      </c>
      <c r="B146" s="24" t="s">
        <v>256</v>
      </c>
      <c r="C146" s="25"/>
      <c r="D146" s="25"/>
      <c r="E146" s="25">
        <v>7000</v>
      </c>
      <c r="F146" s="22"/>
      <c r="N146" s="46"/>
      <c r="O146" s="46"/>
      <c r="P146" s="46"/>
      <c r="Q146" s="46"/>
      <c r="R146" s="46"/>
    </row>
    <row r="147" spans="1:18" x14ac:dyDescent="0.25">
      <c r="A147" s="23">
        <v>45973</v>
      </c>
      <c r="B147" s="24" t="s">
        <v>250</v>
      </c>
      <c r="C147" s="25"/>
      <c r="D147" s="25"/>
      <c r="E147" s="25">
        <v>20000</v>
      </c>
      <c r="F147" s="22"/>
    </row>
    <row r="148" spans="1:18" x14ac:dyDescent="0.25">
      <c r="A148" s="23">
        <v>45973</v>
      </c>
      <c r="B148" s="24" t="s">
        <v>252</v>
      </c>
      <c r="C148" s="25"/>
      <c r="D148" s="25"/>
      <c r="E148" s="25">
        <v>30000</v>
      </c>
      <c r="F148" s="22"/>
    </row>
    <row r="149" spans="1:18" x14ac:dyDescent="0.25">
      <c r="A149" s="23">
        <v>45973</v>
      </c>
      <c r="B149" s="24" t="s">
        <v>253</v>
      </c>
      <c r="C149" s="25"/>
      <c r="D149" s="25"/>
      <c r="E149" s="25">
        <v>10000</v>
      </c>
      <c r="F149" s="22"/>
    </row>
    <row r="150" spans="1:18" x14ac:dyDescent="0.25">
      <c r="A150" s="23">
        <v>45975</v>
      </c>
      <c r="B150" s="37" t="s">
        <v>307</v>
      </c>
      <c r="C150" s="25">
        <v>286870</v>
      </c>
      <c r="D150" s="25"/>
      <c r="E150" s="25"/>
      <c r="F150" s="22"/>
      <c r="G150" s="46"/>
      <c r="H150" s="46" t="s">
        <v>279</v>
      </c>
      <c r="I150" s="46"/>
      <c r="J150" s="46"/>
      <c r="K150" s="46"/>
      <c r="L150" s="46"/>
    </row>
    <row r="151" spans="1:18" x14ac:dyDescent="0.25">
      <c r="A151" s="23">
        <v>45976</v>
      </c>
      <c r="B151" s="24" t="s">
        <v>188</v>
      </c>
      <c r="C151" s="25"/>
      <c r="D151" s="25"/>
      <c r="E151" s="25">
        <v>6000</v>
      </c>
      <c r="F151" s="22"/>
    </row>
    <row r="152" spans="1:18" x14ac:dyDescent="0.25">
      <c r="A152" s="23">
        <v>45976</v>
      </c>
      <c r="B152" s="24" t="s">
        <v>257</v>
      </c>
      <c r="C152" s="25"/>
      <c r="D152" s="25"/>
      <c r="E152" s="25">
        <v>10000</v>
      </c>
      <c r="F152" s="22"/>
      <c r="H152" t="s">
        <v>280</v>
      </c>
    </row>
    <row r="153" spans="1:18" x14ac:dyDescent="0.25">
      <c r="A153" s="23">
        <v>45976</v>
      </c>
      <c r="B153" s="24" t="s">
        <v>253</v>
      </c>
      <c r="C153" s="25"/>
      <c r="D153" s="25"/>
      <c r="E153" s="25">
        <v>5000</v>
      </c>
      <c r="F153" s="22"/>
      <c r="H153" t="s">
        <v>281</v>
      </c>
      <c r="J153">
        <v>37290</v>
      </c>
    </row>
    <row r="154" spans="1:18" x14ac:dyDescent="0.25">
      <c r="A154" s="23">
        <v>45977</v>
      </c>
      <c r="B154" s="24" t="s">
        <v>258</v>
      </c>
      <c r="C154" s="25"/>
      <c r="D154" s="25"/>
      <c r="E154" s="25">
        <v>12000</v>
      </c>
      <c r="F154" s="22"/>
      <c r="H154" t="s">
        <v>282</v>
      </c>
      <c r="J154">
        <v>20740</v>
      </c>
    </row>
    <row r="155" spans="1:18" x14ac:dyDescent="0.25">
      <c r="A155" s="23">
        <v>45977</v>
      </c>
      <c r="B155" s="24" t="s">
        <v>259</v>
      </c>
      <c r="C155" s="25"/>
      <c r="D155" s="25"/>
      <c r="E155" s="25">
        <v>21400</v>
      </c>
      <c r="F155" s="22"/>
      <c r="G155" s="46"/>
      <c r="H155" s="46" t="s">
        <v>283</v>
      </c>
      <c r="I155" s="46"/>
      <c r="J155" s="46">
        <v>10000</v>
      </c>
      <c r="K155" t="s">
        <v>284</v>
      </c>
    </row>
    <row r="156" spans="1:18" x14ac:dyDescent="0.25">
      <c r="A156" s="23">
        <v>45978</v>
      </c>
      <c r="B156" s="24" t="s">
        <v>260</v>
      </c>
      <c r="C156" s="25"/>
      <c r="D156" s="25"/>
      <c r="E156" s="25">
        <v>2000</v>
      </c>
      <c r="F156" s="22"/>
      <c r="H156" t="s">
        <v>6</v>
      </c>
      <c r="J156">
        <v>48030</v>
      </c>
    </row>
    <row r="157" spans="1:18" x14ac:dyDescent="0.25">
      <c r="A157" s="23">
        <v>45984</v>
      </c>
      <c r="B157" s="24" t="s">
        <v>261</v>
      </c>
      <c r="C157" s="25"/>
      <c r="D157" s="25"/>
      <c r="E157" s="25">
        <v>2000</v>
      </c>
      <c r="F157" s="22"/>
      <c r="H157" s="46" t="s">
        <v>289</v>
      </c>
      <c r="J157" s="46">
        <v>10000</v>
      </c>
    </row>
    <row r="158" spans="1:18" x14ac:dyDescent="0.25">
      <c r="A158" s="23">
        <v>45984</v>
      </c>
      <c r="B158" s="24" t="s">
        <v>262</v>
      </c>
      <c r="C158" s="25"/>
      <c r="D158" s="25"/>
      <c r="E158" s="25">
        <v>2000</v>
      </c>
      <c r="F158" s="22"/>
      <c r="G158" s="46"/>
      <c r="H158" s="46" t="s">
        <v>6</v>
      </c>
      <c r="I158" s="46"/>
      <c r="J158" s="46">
        <v>37030</v>
      </c>
    </row>
    <row r="159" spans="1:18" x14ac:dyDescent="0.25">
      <c r="A159" s="23">
        <v>45977</v>
      </c>
      <c r="B159" s="37" t="s">
        <v>264</v>
      </c>
      <c r="C159" s="25"/>
      <c r="D159" s="48">
        <v>82000</v>
      </c>
      <c r="E159" s="25"/>
      <c r="F159" s="22"/>
      <c r="H159" s="46" t="s">
        <v>290</v>
      </c>
      <c r="J159" s="46">
        <v>-6300</v>
      </c>
    </row>
    <row r="160" spans="1:18" x14ac:dyDescent="0.25">
      <c r="A160" s="23">
        <v>46007</v>
      </c>
      <c r="B160" s="37" t="s">
        <v>265</v>
      </c>
      <c r="C160" s="25">
        <v>244310</v>
      </c>
      <c r="D160" s="25"/>
      <c r="E160" s="25"/>
      <c r="F160" s="22"/>
    </row>
    <row r="161" spans="1:14" x14ac:dyDescent="0.25">
      <c r="A161" s="23">
        <v>46007</v>
      </c>
      <c r="B161" s="24" t="s">
        <v>85</v>
      </c>
      <c r="C161" s="25"/>
      <c r="D161" s="25"/>
      <c r="E161" s="25">
        <v>5000</v>
      </c>
      <c r="F161" s="22"/>
    </row>
    <row r="162" spans="1:14" x14ac:dyDescent="0.25">
      <c r="A162" s="23">
        <v>46007</v>
      </c>
      <c r="B162" s="24" t="s">
        <v>266</v>
      </c>
      <c r="C162" s="25"/>
      <c r="D162" s="25"/>
      <c r="E162" s="25">
        <v>20000</v>
      </c>
      <c r="F162" s="22"/>
    </row>
    <row r="163" spans="1:14" x14ac:dyDescent="0.25">
      <c r="A163" s="23">
        <v>46007</v>
      </c>
      <c r="B163" s="24" t="s">
        <v>267</v>
      </c>
      <c r="C163" s="25"/>
      <c r="D163" s="25"/>
      <c r="E163" s="25">
        <v>4350</v>
      </c>
      <c r="F163" s="22"/>
    </row>
    <row r="164" spans="1:14" x14ac:dyDescent="0.25">
      <c r="A164" s="23">
        <v>46007</v>
      </c>
      <c r="B164" s="24" t="s">
        <v>191</v>
      </c>
      <c r="C164" s="25"/>
      <c r="D164" s="25"/>
      <c r="E164" s="25">
        <v>14000</v>
      </c>
      <c r="F164" s="22"/>
    </row>
    <row r="165" spans="1:14" x14ac:dyDescent="0.25">
      <c r="A165" s="23">
        <v>46007</v>
      </c>
      <c r="B165" s="24" t="s">
        <v>95</v>
      </c>
      <c r="C165" s="25"/>
      <c r="D165" s="25"/>
      <c r="E165" s="25">
        <v>8500</v>
      </c>
      <c r="F165" s="22"/>
    </row>
    <row r="166" spans="1:14" x14ac:dyDescent="0.25">
      <c r="A166" s="23">
        <v>46007</v>
      </c>
      <c r="B166" s="24" t="s">
        <v>268</v>
      </c>
      <c r="C166" s="25"/>
      <c r="D166" s="25"/>
      <c r="E166" s="25">
        <v>2500</v>
      </c>
      <c r="F166" s="22"/>
      <c r="K166" s="46"/>
      <c r="L166" s="46"/>
      <c r="M166" s="46"/>
      <c r="N166" s="46"/>
    </row>
    <row r="167" spans="1:14" x14ac:dyDescent="0.25">
      <c r="A167" s="23">
        <v>46007</v>
      </c>
      <c r="B167" s="24" t="s">
        <v>158</v>
      </c>
      <c r="C167" s="25"/>
      <c r="D167" s="25"/>
      <c r="E167" s="25">
        <v>6000</v>
      </c>
      <c r="F167" s="22"/>
    </row>
    <row r="168" spans="1:14" x14ac:dyDescent="0.25">
      <c r="A168" s="23">
        <v>46010</v>
      </c>
      <c r="B168" s="24" t="s">
        <v>273</v>
      </c>
      <c r="C168" s="25"/>
      <c r="D168" s="25"/>
      <c r="E168" s="25">
        <v>4000</v>
      </c>
      <c r="F168" s="22"/>
    </row>
    <row r="169" spans="1:14" x14ac:dyDescent="0.25">
      <c r="A169" s="23">
        <v>46010</v>
      </c>
      <c r="B169" s="24" t="s">
        <v>274</v>
      </c>
      <c r="C169" s="25"/>
      <c r="D169" s="25"/>
      <c r="E169" s="25">
        <v>5000</v>
      </c>
      <c r="F169" s="22"/>
    </row>
    <row r="170" spans="1:14" x14ac:dyDescent="0.25">
      <c r="A170" s="23">
        <v>46032</v>
      </c>
      <c r="B170" s="24" t="s">
        <v>275</v>
      </c>
      <c r="C170" s="25"/>
      <c r="D170" s="25"/>
      <c r="E170" s="25">
        <v>24960</v>
      </c>
      <c r="F170" s="22"/>
    </row>
    <row r="171" spans="1:14" x14ac:dyDescent="0.25">
      <c r="A171" s="23">
        <v>46034</v>
      </c>
      <c r="B171" s="37" t="s">
        <v>292</v>
      </c>
      <c r="C171" s="25">
        <v>198000</v>
      </c>
      <c r="D171" s="25"/>
      <c r="E171" s="25"/>
      <c r="F171" s="22"/>
    </row>
    <row r="172" spans="1:14" x14ac:dyDescent="0.25">
      <c r="A172" s="23">
        <v>46034</v>
      </c>
      <c r="B172" s="24" t="s">
        <v>188</v>
      </c>
      <c r="C172" s="25"/>
      <c r="D172" s="25"/>
      <c r="E172" s="25">
        <v>4000</v>
      </c>
      <c r="F172" s="22"/>
      <c r="I172" t="s">
        <v>328</v>
      </c>
      <c r="K172" t="s">
        <v>337</v>
      </c>
      <c r="L172">
        <f>+M172</f>
        <v>0</v>
      </c>
    </row>
    <row r="173" spans="1:14" x14ac:dyDescent="0.25">
      <c r="A173" s="23">
        <v>46034</v>
      </c>
      <c r="B173" s="24" t="s">
        <v>293</v>
      </c>
      <c r="C173" s="25"/>
      <c r="D173" s="25"/>
      <c r="E173" s="25">
        <v>9000</v>
      </c>
      <c r="F173" s="22"/>
      <c r="I173" t="s">
        <v>329</v>
      </c>
      <c r="J173" s="46"/>
      <c r="K173" s="46" t="s">
        <v>339</v>
      </c>
      <c r="L173" s="46"/>
      <c r="M173" s="46"/>
      <c r="N173" s="46"/>
    </row>
    <row r="174" spans="1:14" x14ac:dyDescent="0.25">
      <c r="A174" s="23">
        <v>46034</v>
      </c>
      <c r="B174" s="24" t="s">
        <v>287</v>
      </c>
      <c r="C174" s="25"/>
      <c r="D174" s="25"/>
      <c r="E174" s="25">
        <v>5000</v>
      </c>
      <c r="F174" s="22"/>
      <c r="I174" t="s">
        <v>331</v>
      </c>
      <c r="K174" s="47">
        <v>180000</v>
      </c>
      <c r="L174" s="47"/>
      <c r="M174" s="47"/>
      <c r="N174" s="47"/>
    </row>
    <row r="175" spans="1:14" x14ac:dyDescent="0.25">
      <c r="A175" s="23">
        <v>46035</v>
      </c>
      <c r="B175" s="24" t="s">
        <v>81</v>
      </c>
      <c r="C175" s="25"/>
      <c r="D175" s="25"/>
      <c r="E175" s="25">
        <v>17500</v>
      </c>
      <c r="F175" s="22"/>
      <c r="I175" t="s">
        <v>226</v>
      </c>
      <c r="K175" s="47">
        <v>230000</v>
      </c>
      <c r="L175" s="47"/>
      <c r="M175" s="47"/>
      <c r="N175" s="47"/>
    </row>
    <row r="176" spans="1:14" x14ac:dyDescent="0.25">
      <c r="A176" s="23">
        <v>46035</v>
      </c>
      <c r="B176" s="37" t="s">
        <v>294</v>
      </c>
      <c r="C176" s="25"/>
      <c r="D176" s="48">
        <v>82000</v>
      </c>
      <c r="E176" s="25"/>
      <c r="F176" s="22"/>
      <c r="K176" s="47"/>
      <c r="L176" s="47"/>
      <c r="M176" s="47"/>
      <c r="N176" s="47"/>
    </row>
    <row r="177" spans="1:14" x14ac:dyDescent="0.25">
      <c r="A177" s="23">
        <v>46036</v>
      </c>
      <c r="B177" s="24" t="s">
        <v>295</v>
      </c>
      <c r="C177" s="25"/>
      <c r="D177" s="25"/>
      <c r="E177" s="25">
        <v>24500</v>
      </c>
      <c r="F177" s="22"/>
      <c r="K177" s="47"/>
      <c r="L177" s="47"/>
      <c r="M177" s="47"/>
      <c r="N177" s="47"/>
    </row>
    <row r="178" spans="1:14" x14ac:dyDescent="0.25">
      <c r="A178" s="23">
        <v>46038</v>
      </c>
      <c r="B178" s="37" t="s">
        <v>296</v>
      </c>
      <c r="C178" s="25"/>
      <c r="D178" s="48">
        <v>10500</v>
      </c>
      <c r="E178" s="25"/>
      <c r="F178" s="22"/>
      <c r="K178" s="47"/>
      <c r="M178" s="47"/>
    </row>
    <row r="179" spans="1:14" x14ac:dyDescent="0.25">
      <c r="A179" s="23">
        <v>46039</v>
      </c>
      <c r="B179" s="24" t="s">
        <v>297</v>
      </c>
      <c r="C179" s="25"/>
      <c r="D179" s="25"/>
      <c r="E179" s="25">
        <v>10000</v>
      </c>
      <c r="F179" s="22"/>
      <c r="J179" s="46"/>
      <c r="K179" s="46"/>
      <c r="L179" s="46"/>
      <c r="M179" s="46"/>
    </row>
    <row r="180" spans="1:14" x14ac:dyDescent="0.25">
      <c r="A180" s="23">
        <v>46041</v>
      </c>
      <c r="B180" s="24" t="s">
        <v>298</v>
      </c>
      <c r="C180" s="25"/>
      <c r="D180" s="25"/>
      <c r="E180" s="25">
        <v>10000</v>
      </c>
      <c r="F180" s="22"/>
      <c r="K180" s="47"/>
      <c r="M180" s="47"/>
    </row>
    <row r="181" spans="1:14" x14ac:dyDescent="0.25">
      <c r="A181" s="23">
        <v>46041</v>
      </c>
      <c r="B181" s="24" t="s">
        <v>276</v>
      </c>
      <c r="C181" s="25"/>
      <c r="D181" s="25"/>
      <c r="E181" s="25">
        <v>3000</v>
      </c>
      <c r="F181" s="22"/>
      <c r="K181" s="47"/>
      <c r="M181" s="47"/>
    </row>
    <row r="182" spans="1:14" x14ac:dyDescent="0.25">
      <c r="A182" s="23">
        <v>46041</v>
      </c>
      <c r="B182" s="24" t="s">
        <v>277</v>
      </c>
      <c r="C182" s="25"/>
      <c r="D182" s="25"/>
      <c r="E182" s="25">
        <v>23500</v>
      </c>
      <c r="F182" s="22"/>
      <c r="K182" s="47"/>
      <c r="M182" s="47"/>
    </row>
    <row r="183" spans="1:14" x14ac:dyDescent="0.25">
      <c r="A183" s="23">
        <v>46041</v>
      </c>
      <c r="B183" s="37" t="s">
        <v>299</v>
      </c>
      <c r="C183" s="25"/>
      <c r="D183" s="48">
        <v>20000</v>
      </c>
      <c r="E183" s="25"/>
      <c r="F183" s="22"/>
      <c r="K183" s="47"/>
      <c r="M183" s="47"/>
    </row>
    <row r="184" spans="1:14" x14ac:dyDescent="0.25">
      <c r="A184" s="23">
        <v>46042</v>
      </c>
      <c r="B184" s="37" t="s">
        <v>300</v>
      </c>
      <c r="C184" s="25"/>
      <c r="D184" s="48">
        <v>21280</v>
      </c>
      <c r="E184" s="25"/>
      <c r="F184" s="22"/>
      <c r="K184" s="47"/>
      <c r="M184" s="47"/>
    </row>
    <row r="185" spans="1:14" x14ac:dyDescent="0.25">
      <c r="A185" s="23">
        <v>46043</v>
      </c>
      <c r="B185" s="24" t="s">
        <v>301</v>
      </c>
      <c r="C185" s="25"/>
      <c r="D185" s="25"/>
      <c r="E185" s="25">
        <v>38800</v>
      </c>
      <c r="F185" s="22"/>
      <c r="K185" s="47"/>
      <c r="M185" s="47"/>
    </row>
    <row r="186" spans="1:14" x14ac:dyDescent="0.25">
      <c r="A186" s="23">
        <v>46044</v>
      </c>
      <c r="B186" s="24" t="s">
        <v>287</v>
      </c>
      <c r="C186" s="25"/>
      <c r="D186" s="25"/>
      <c r="E186" s="25">
        <v>5000</v>
      </c>
      <c r="F186" s="22"/>
      <c r="K186" s="47"/>
      <c r="M186" s="47"/>
    </row>
    <row r="187" spans="1:14" x14ac:dyDescent="0.25">
      <c r="A187" s="23">
        <v>46056</v>
      </c>
      <c r="B187" s="24" t="s">
        <v>291</v>
      </c>
      <c r="C187" s="25"/>
      <c r="D187" s="25"/>
      <c r="E187" s="25">
        <v>102000</v>
      </c>
      <c r="F187" s="22"/>
      <c r="K187" s="47"/>
      <c r="M187" s="47"/>
    </row>
    <row r="188" spans="1:14" x14ac:dyDescent="0.25">
      <c r="A188" s="23">
        <v>46065</v>
      </c>
      <c r="B188" s="24" t="s">
        <v>82</v>
      </c>
      <c r="C188" s="25"/>
      <c r="D188" s="25"/>
      <c r="E188" s="25">
        <v>32150</v>
      </c>
      <c r="F188" s="22"/>
      <c r="K188" s="47"/>
      <c r="M188" s="47"/>
    </row>
    <row r="189" spans="1:14" x14ac:dyDescent="0.25">
      <c r="A189" s="23">
        <v>46035</v>
      </c>
      <c r="B189" s="24" t="s">
        <v>269</v>
      </c>
      <c r="C189" s="25"/>
      <c r="D189" s="25"/>
      <c r="E189" s="25">
        <v>8000</v>
      </c>
      <c r="F189" s="22"/>
      <c r="K189" s="47"/>
      <c r="M189" s="47"/>
    </row>
    <row r="190" spans="1:14" x14ac:dyDescent="0.25">
      <c r="A190" s="23">
        <v>46066</v>
      </c>
      <c r="B190" s="24" t="s">
        <v>302</v>
      </c>
      <c r="C190" s="25"/>
      <c r="D190" s="25"/>
      <c r="E190" s="25">
        <v>5000</v>
      </c>
      <c r="F190" s="22"/>
      <c r="K190" s="47"/>
      <c r="M190" s="47"/>
    </row>
    <row r="191" spans="1:14" x14ac:dyDescent="0.25">
      <c r="A191" s="23">
        <v>46067</v>
      </c>
      <c r="B191" s="37" t="s">
        <v>308</v>
      </c>
      <c r="C191" s="25">
        <v>294272</v>
      </c>
      <c r="D191" s="25"/>
      <c r="E191" s="25"/>
      <c r="F191" s="22"/>
      <c r="K191" s="47"/>
      <c r="M191" s="47"/>
    </row>
    <row r="192" spans="1:14" x14ac:dyDescent="0.25">
      <c r="A192" s="23">
        <v>46068</v>
      </c>
      <c r="B192" s="24" t="s">
        <v>188</v>
      </c>
      <c r="C192" s="25"/>
      <c r="D192" s="25"/>
      <c r="E192" s="25">
        <v>10000</v>
      </c>
      <c r="F192" s="22"/>
      <c r="K192" s="47"/>
      <c r="M192" s="47"/>
    </row>
    <row r="193" spans="1:13" x14ac:dyDescent="0.25">
      <c r="A193" s="23">
        <v>46068</v>
      </c>
      <c r="B193" s="24" t="s">
        <v>309</v>
      </c>
      <c r="C193" s="25"/>
      <c r="D193" s="25"/>
      <c r="E193" s="25">
        <v>5200</v>
      </c>
      <c r="F193" s="22"/>
      <c r="K193" s="47"/>
      <c r="M193" s="47"/>
    </row>
    <row r="194" spans="1:13" x14ac:dyDescent="0.25">
      <c r="A194" s="23">
        <v>46068</v>
      </c>
      <c r="B194" s="24" t="s">
        <v>312</v>
      </c>
      <c r="C194" s="25"/>
      <c r="D194" s="25"/>
      <c r="E194" s="25">
        <v>5400</v>
      </c>
      <c r="F194" s="22"/>
      <c r="K194" s="47"/>
      <c r="M194" s="47"/>
    </row>
    <row r="195" spans="1:13" x14ac:dyDescent="0.25">
      <c r="A195" s="23">
        <v>46069</v>
      </c>
      <c r="B195" s="24" t="s">
        <v>313</v>
      </c>
      <c r="C195" s="25"/>
      <c r="D195" s="25"/>
      <c r="E195" s="25">
        <v>14000</v>
      </c>
      <c r="F195" s="22"/>
      <c r="K195" s="47"/>
      <c r="M195" s="47"/>
    </row>
    <row r="196" spans="1:13" x14ac:dyDescent="0.25">
      <c r="A196" s="23">
        <v>46069</v>
      </c>
      <c r="B196" s="24" t="s">
        <v>315</v>
      </c>
      <c r="C196" s="25"/>
      <c r="D196" s="25"/>
      <c r="E196" s="25">
        <v>16000</v>
      </c>
      <c r="F196" s="22"/>
      <c r="K196" s="47"/>
      <c r="M196" s="47"/>
    </row>
    <row r="197" spans="1:13" x14ac:dyDescent="0.25">
      <c r="A197" s="23">
        <v>46069</v>
      </c>
      <c r="B197" s="24" t="s">
        <v>314</v>
      </c>
      <c r="C197" s="25"/>
      <c r="D197" s="25"/>
      <c r="E197" s="25">
        <v>24000</v>
      </c>
      <c r="F197" s="22"/>
      <c r="I197" t="s">
        <v>340</v>
      </c>
      <c r="K197" s="47">
        <v>110000</v>
      </c>
      <c r="M197" s="47"/>
    </row>
    <row r="198" spans="1:13" x14ac:dyDescent="0.25">
      <c r="A198" s="49">
        <v>46078</v>
      </c>
      <c r="B198" s="37" t="s">
        <v>320</v>
      </c>
      <c r="C198" s="25"/>
      <c r="D198" s="48">
        <v>33000</v>
      </c>
      <c r="E198" s="25"/>
      <c r="F198" s="22"/>
      <c r="I198" t="s">
        <v>114</v>
      </c>
      <c r="K198" s="47">
        <v>30000</v>
      </c>
      <c r="M198" s="47"/>
    </row>
    <row r="199" spans="1:13" x14ac:dyDescent="0.25">
      <c r="A199" s="23">
        <v>46083</v>
      </c>
      <c r="B199" s="24" t="s">
        <v>321</v>
      </c>
      <c r="C199" s="25"/>
      <c r="D199" s="25"/>
      <c r="E199" s="25">
        <v>30000</v>
      </c>
      <c r="F199" s="22"/>
      <c r="I199" t="s">
        <v>232</v>
      </c>
      <c r="K199" s="47">
        <v>80000</v>
      </c>
      <c r="M199" s="47"/>
    </row>
    <row r="200" spans="1:13" x14ac:dyDescent="0.25">
      <c r="A200" s="23">
        <v>46087</v>
      </c>
      <c r="B200" s="37" t="s">
        <v>322</v>
      </c>
      <c r="C200" s="25"/>
      <c r="D200" s="48">
        <v>81600</v>
      </c>
      <c r="E200" s="25"/>
      <c r="F200" s="22"/>
      <c r="K200" s="47"/>
      <c r="M200" s="47"/>
    </row>
    <row r="201" spans="1:13" x14ac:dyDescent="0.25">
      <c r="A201" s="23">
        <v>46091</v>
      </c>
      <c r="B201" s="24" t="s">
        <v>325</v>
      </c>
      <c r="C201" s="25"/>
      <c r="D201" s="25"/>
      <c r="E201" s="25">
        <v>14000</v>
      </c>
      <c r="F201" s="22"/>
      <c r="K201" s="47"/>
      <c r="M201" s="47"/>
    </row>
    <row r="202" spans="1:13" x14ac:dyDescent="0.25">
      <c r="A202" s="23">
        <v>46092</v>
      </c>
      <c r="B202" s="24" t="s">
        <v>327</v>
      </c>
      <c r="C202" s="25"/>
      <c r="D202" s="25"/>
      <c r="E202" s="25">
        <v>10000</v>
      </c>
      <c r="F202" s="22"/>
      <c r="K202" s="47"/>
      <c r="M202" s="47"/>
    </row>
    <row r="203" spans="1:13" x14ac:dyDescent="0.25">
      <c r="A203" s="49">
        <v>46093</v>
      </c>
      <c r="B203" s="37" t="s">
        <v>330</v>
      </c>
      <c r="C203" s="25">
        <v>235090</v>
      </c>
      <c r="D203" s="25"/>
      <c r="E203" s="25"/>
      <c r="F203" s="22"/>
      <c r="K203" s="47"/>
      <c r="M203" s="47"/>
    </row>
    <row r="204" spans="1:13" x14ac:dyDescent="0.25">
      <c r="A204" s="23">
        <v>46093</v>
      </c>
      <c r="B204" s="24" t="s">
        <v>188</v>
      </c>
      <c r="C204" s="25"/>
      <c r="D204" s="25"/>
      <c r="E204" s="25">
        <v>8000</v>
      </c>
      <c r="F204" s="22"/>
      <c r="K204" s="47"/>
      <c r="M204" s="47"/>
    </row>
    <row r="205" spans="1:13" x14ac:dyDescent="0.25">
      <c r="A205" s="23">
        <v>46093</v>
      </c>
      <c r="B205" s="24" t="s">
        <v>332</v>
      </c>
      <c r="C205" s="25"/>
      <c r="D205" s="25"/>
      <c r="E205" s="25">
        <v>10090</v>
      </c>
      <c r="F205" s="22"/>
      <c r="K205" s="47"/>
      <c r="M205" s="47"/>
    </row>
    <row r="206" spans="1:13" x14ac:dyDescent="0.25">
      <c r="A206" s="23">
        <v>46093</v>
      </c>
      <c r="B206" s="24" t="s">
        <v>333</v>
      </c>
      <c r="C206" s="25"/>
      <c r="D206" s="25"/>
      <c r="E206" s="25">
        <v>9000</v>
      </c>
      <c r="F206" s="22"/>
      <c r="K206" s="47"/>
      <c r="M206" s="47"/>
    </row>
    <row r="207" spans="1:13" x14ac:dyDescent="0.25">
      <c r="A207" s="23">
        <v>46093</v>
      </c>
      <c r="B207" s="24" t="s">
        <v>334</v>
      </c>
      <c r="C207" s="25"/>
      <c r="D207" s="25"/>
      <c r="E207" s="25">
        <v>8000</v>
      </c>
      <c r="F207" s="22"/>
      <c r="K207" s="47"/>
      <c r="M207" s="47"/>
    </row>
    <row r="208" spans="1:13" x14ac:dyDescent="0.25">
      <c r="A208" s="49">
        <v>46094</v>
      </c>
      <c r="B208" s="37" t="s">
        <v>336</v>
      </c>
      <c r="C208" s="25"/>
      <c r="D208" s="48">
        <v>45600</v>
      </c>
      <c r="E208" s="48"/>
      <c r="F208" s="22"/>
      <c r="K208" s="47"/>
      <c r="M208" s="47"/>
    </row>
    <row r="209" spans="1:14" x14ac:dyDescent="0.25">
      <c r="A209" s="23">
        <v>46102</v>
      </c>
      <c r="B209" s="24" t="s">
        <v>335</v>
      </c>
      <c r="C209" s="25"/>
      <c r="D209" s="25"/>
      <c r="E209" s="25">
        <v>20000</v>
      </c>
      <c r="F209" s="22"/>
      <c r="K209" s="47"/>
      <c r="M209" s="47"/>
    </row>
    <row r="210" spans="1:14" x14ac:dyDescent="0.25">
      <c r="A210" s="49">
        <v>46106</v>
      </c>
      <c r="B210" s="37" t="s">
        <v>338</v>
      </c>
      <c r="C210" s="25"/>
      <c r="D210" s="48">
        <v>9500</v>
      </c>
      <c r="E210" s="25"/>
      <c r="F210" s="22"/>
      <c r="K210" s="47"/>
      <c r="M210" s="47"/>
    </row>
    <row r="211" spans="1:14" x14ac:dyDescent="0.25">
      <c r="A211" s="23">
        <v>46112</v>
      </c>
      <c r="B211" s="24" t="s">
        <v>341</v>
      </c>
      <c r="C211" s="25"/>
      <c r="D211" s="25"/>
      <c r="E211" s="48">
        <v>110000</v>
      </c>
      <c r="F211" s="22"/>
      <c r="G211" t="s">
        <v>354</v>
      </c>
      <c r="H211">
        <v>30000</v>
      </c>
      <c r="K211" s="47"/>
      <c r="M211" s="47"/>
    </row>
    <row r="212" spans="1:14" x14ac:dyDescent="0.25">
      <c r="A212" s="23">
        <v>46119</v>
      </c>
      <c r="B212" s="24" t="s">
        <v>342</v>
      </c>
      <c r="C212" s="25"/>
      <c r="D212" s="25"/>
      <c r="E212" s="25">
        <v>10000</v>
      </c>
      <c r="F212" s="22"/>
      <c r="K212" s="47"/>
      <c r="M212" s="47"/>
    </row>
    <row r="213" spans="1:14" x14ac:dyDescent="0.25">
      <c r="A213" s="23">
        <v>46120</v>
      </c>
      <c r="B213" s="24" t="s">
        <v>343</v>
      </c>
      <c r="C213" s="25"/>
      <c r="D213" s="25"/>
      <c r="E213" s="25">
        <v>5000</v>
      </c>
      <c r="F213" s="22"/>
      <c r="K213" s="47"/>
      <c r="M213" s="47"/>
    </row>
    <row r="214" spans="1:14" x14ac:dyDescent="0.25">
      <c r="A214" s="23">
        <v>46121</v>
      </c>
      <c r="B214" s="24" t="s">
        <v>345</v>
      </c>
      <c r="C214" s="25"/>
      <c r="D214" s="25"/>
      <c r="E214" s="25">
        <v>7803</v>
      </c>
      <c r="F214" s="22"/>
      <c r="K214" s="47"/>
      <c r="M214" s="47"/>
    </row>
    <row r="215" spans="1:14" x14ac:dyDescent="0.25">
      <c r="A215" s="23">
        <v>46121</v>
      </c>
      <c r="B215" s="24" t="s">
        <v>346</v>
      </c>
      <c r="C215" s="25"/>
      <c r="D215" s="25"/>
      <c r="E215" s="25">
        <v>1500</v>
      </c>
      <c r="F215" s="22"/>
      <c r="K215" s="47"/>
      <c r="M215" s="47"/>
    </row>
    <row r="216" spans="1:14" x14ac:dyDescent="0.25">
      <c r="A216" s="23">
        <v>46122</v>
      </c>
      <c r="B216" s="24" t="s">
        <v>347</v>
      </c>
      <c r="C216" s="25"/>
      <c r="D216" s="25"/>
      <c r="E216" s="25">
        <v>6639</v>
      </c>
      <c r="F216" s="22"/>
      <c r="K216" s="47"/>
      <c r="M216" s="47"/>
    </row>
    <row r="217" spans="1:14" x14ac:dyDescent="0.25">
      <c r="A217" s="23">
        <v>46127</v>
      </c>
      <c r="B217" s="24" t="s">
        <v>377</v>
      </c>
      <c r="C217" s="25"/>
      <c r="D217" s="25"/>
      <c r="E217" s="25">
        <v>100000</v>
      </c>
      <c r="F217" s="22"/>
      <c r="K217" s="47"/>
      <c r="M217" s="47"/>
    </row>
    <row r="218" spans="1:14" x14ac:dyDescent="0.25">
      <c r="A218" s="23">
        <v>46127</v>
      </c>
      <c r="B218" s="37" t="s">
        <v>348</v>
      </c>
      <c r="C218" s="25">
        <v>87300</v>
      </c>
      <c r="D218" s="25"/>
      <c r="E218" s="25"/>
      <c r="F218" s="22"/>
      <c r="K218" s="47"/>
      <c r="M218" s="47"/>
    </row>
    <row r="219" spans="1:14" x14ac:dyDescent="0.25">
      <c r="A219" s="23">
        <v>46128</v>
      </c>
      <c r="B219" s="24" t="s">
        <v>349</v>
      </c>
      <c r="C219" s="25"/>
      <c r="D219" s="25"/>
      <c r="E219" s="25">
        <v>2000</v>
      </c>
      <c r="F219" s="22"/>
      <c r="K219" s="47"/>
      <c r="M219" s="47"/>
    </row>
    <row r="220" spans="1:14" x14ac:dyDescent="0.25">
      <c r="A220" s="23">
        <v>46128</v>
      </c>
      <c r="B220" s="24" t="s">
        <v>351</v>
      </c>
      <c r="C220" s="25"/>
      <c r="D220" s="25"/>
      <c r="E220" s="25">
        <v>5300</v>
      </c>
      <c r="F220" s="22"/>
      <c r="K220" s="47"/>
      <c r="M220" s="47"/>
    </row>
    <row r="221" spans="1:14" x14ac:dyDescent="0.25">
      <c r="A221" s="23">
        <v>46130</v>
      </c>
      <c r="B221" s="24" t="s">
        <v>350</v>
      </c>
      <c r="C221" s="25"/>
      <c r="D221" s="25"/>
      <c r="E221" s="25">
        <v>1500</v>
      </c>
      <c r="F221" s="22"/>
      <c r="K221" s="47"/>
      <c r="M221" s="47"/>
    </row>
    <row r="222" spans="1:14" x14ac:dyDescent="0.25">
      <c r="A222" s="23">
        <v>46131</v>
      </c>
      <c r="B222" s="24" t="s">
        <v>309</v>
      </c>
      <c r="C222" s="25"/>
      <c r="D222" s="25"/>
      <c r="E222" s="25">
        <v>8500</v>
      </c>
      <c r="F222" s="22"/>
      <c r="K222" s="47"/>
      <c r="M222" s="47"/>
    </row>
    <row r="223" spans="1:14" x14ac:dyDescent="0.25">
      <c r="A223" s="23">
        <v>46132</v>
      </c>
      <c r="B223" s="24" t="s">
        <v>223</v>
      </c>
      <c r="C223" s="25"/>
      <c r="D223" s="25"/>
      <c r="E223" s="25">
        <v>5000</v>
      </c>
      <c r="F223" s="22"/>
      <c r="J223" t="s">
        <v>383</v>
      </c>
      <c r="K223" s="47" t="s">
        <v>363</v>
      </c>
      <c r="M223" s="47"/>
      <c r="N223">
        <v>350000</v>
      </c>
    </row>
    <row r="224" spans="1:14" x14ac:dyDescent="0.25">
      <c r="A224" s="23">
        <v>46133</v>
      </c>
      <c r="B224" s="24" t="s">
        <v>352</v>
      </c>
      <c r="C224" s="25"/>
      <c r="D224" s="25"/>
      <c r="E224" s="25">
        <v>10000</v>
      </c>
      <c r="F224" s="22"/>
      <c r="G224" t="s">
        <v>127</v>
      </c>
      <c r="K224" s="47" t="s">
        <v>381</v>
      </c>
      <c r="M224" s="47"/>
      <c r="N224">
        <v>60000</v>
      </c>
    </row>
    <row r="225" spans="1:14" x14ac:dyDescent="0.25">
      <c r="A225" s="23">
        <v>46136</v>
      </c>
      <c r="B225" s="24" t="s">
        <v>353</v>
      </c>
      <c r="C225" s="25"/>
      <c r="D225" s="25"/>
      <c r="E225" s="25">
        <v>2000</v>
      </c>
      <c r="F225" s="22"/>
      <c r="K225" s="47" t="s">
        <v>382</v>
      </c>
      <c r="M225" s="47"/>
      <c r="N225">
        <v>44000</v>
      </c>
    </row>
    <row r="226" spans="1:14" x14ac:dyDescent="0.25">
      <c r="A226" s="23">
        <v>46137</v>
      </c>
      <c r="B226" s="24" t="s">
        <v>95</v>
      </c>
      <c r="C226" s="25"/>
      <c r="D226" s="25"/>
      <c r="E226" s="25">
        <v>5000</v>
      </c>
      <c r="F226" s="22"/>
      <c r="K226" s="47" t="s">
        <v>93</v>
      </c>
      <c r="M226" s="47"/>
      <c r="N226">
        <v>14000</v>
      </c>
    </row>
    <row r="227" spans="1:14" x14ac:dyDescent="0.25">
      <c r="A227" s="23">
        <v>46139</v>
      </c>
      <c r="B227" s="24" t="s">
        <v>355</v>
      </c>
      <c r="C227" s="25"/>
      <c r="D227" s="25"/>
      <c r="E227" s="25">
        <v>12500</v>
      </c>
      <c r="F227" s="22"/>
      <c r="G227" t="s">
        <v>354</v>
      </c>
      <c r="K227" s="47"/>
      <c r="M227" s="47"/>
    </row>
    <row r="228" spans="1:14" x14ac:dyDescent="0.25">
      <c r="A228" s="23">
        <v>46140</v>
      </c>
      <c r="B228" s="24" t="s">
        <v>356</v>
      </c>
      <c r="C228" s="25"/>
      <c r="D228" s="25"/>
      <c r="E228" s="25">
        <v>5000</v>
      </c>
      <c r="F228" s="22"/>
      <c r="K228" s="47"/>
      <c r="M228" s="47"/>
    </row>
    <row r="229" spans="1:14" x14ac:dyDescent="0.25">
      <c r="A229" s="23">
        <v>46140</v>
      </c>
      <c r="B229" s="24" t="s">
        <v>357</v>
      </c>
      <c r="C229" s="25"/>
      <c r="D229" s="25"/>
      <c r="E229" s="25">
        <v>13500</v>
      </c>
      <c r="F229" s="22"/>
      <c r="K229" s="47"/>
      <c r="M229" s="47"/>
    </row>
    <row r="230" spans="1:14" x14ac:dyDescent="0.25">
      <c r="A230" s="23">
        <v>46141</v>
      </c>
      <c r="B230" s="24" t="s">
        <v>276</v>
      </c>
      <c r="C230" s="25"/>
      <c r="D230" s="25"/>
      <c r="E230" s="25">
        <v>2000</v>
      </c>
      <c r="F230" s="22"/>
      <c r="K230" s="47"/>
      <c r="M230" s="47"/>
    </row>
    <row r="231" spans="1:14" x14ac:dyDescent="0.25">
      <c r="A231" s="23">
        <v>46141</v>
      </c>
      <c r="B231" s="24" t="s">
        <v>358</v>
      </c>
      <c r="C231" s="25"/>
      <c r="D231" s="25"/>
      <c r="E231" s="25">
        <v>11000</v>
      </c>
      <c r="F231" s="22"/>
      <c r="K231" s="47"/>
      <c r="M231" s="47"/>
    </row>
    <row r="232" spans="1:14" x14ac:dyDescent="0.25">
      <c r="A232" s="23">
        <v>46150</v>
      </c>
      <c r="B232" s="24" t="s">
        <v>359</v>
      </c>
      <c r="C232" s="25"/>
      <c r="D232" s="25">
        <v>81600</v>
      </c>
      <c r="E232" s="25"/>
      <c r="F232" s="22"/>
      <c r="K232" s="47"/>
      <c r="M232" s="47"/>
    </row>
    <row r="233" spans="1:14" x14ac:dyDescent="0.25">
      <c r="A233" s="23">
        <v>46150</v>
      </c>
      <c r="B233" s="24" t="s">
        <v>360</v>
      </c>
      <c r="C233" s="25"/>
      <c r="D233" s="25">
        <v>15000</v>
      </c>
      <c r="E233" s="25"/>
      <c r="F233" s="22"/>
      <c r="K233" s="47"/>
      <c r="M233" s="47"/>
    </row>
    <row r="234" spans="1:14" x14ac:dyDescent="0.25">
      <c r="A234" s="23">
        <v>46150</v>
      </c>
      <c r="B234" s="24" t="s">
        <v>361</v>
      </c>
      <c r="C234" s="25"/>
      <c r="D234" s="25"/>
      <c r="E234" s="25">
        <v>8000</v>
      </c>
      <c r="F234" s="22"/>
      <c r="K234" s="47"/>
      <c r="M234" s="47"/>
    </row>
    <row r="235" spans="1:14" x14ac:dyDescent="0.25">
      <c r="A235" s="23">
        <v>46154</v>
      </c>
      <c r="B235" s="24" t="s">
        <v>362</v>
      </c>
      <c r="C235" s="25">
        <v>301577</v>
      </c>
      <c r="D235" s="25"/>
      <c r="E235" s="25"/>
      <c r="F235" s="22"/>
      <c r="K235" s="47"/>
      <c r="M235" s="47"/>
    </row>
    <row r="236" spans="1:14" x14ac:dyDescent="0.25">
      <c r="A236" s="23">
        <v>46154</v>
      </c>
      <c r="B236" s="24" t="s">
        <v>85</v>
      </c>
      <c r="C236" s="25"/>
      <c r="D236" s="25"/>
      <c r="E236" s="25">
        <v>6000</v>
      </c>
      <c r="F236" s="22"/>
      <c r="K236" s="47"/>
      <c r="M236" s="47"/>
    </row>
    <row r="237" spans="1:14" x14ac:dyDescent="0.25">
      <c r="A237" s="23">
        <v>46154</v>
      </c>
      <c r="B237" s="24" t="s">
        <v>365</v>
      </c>
      <c r="C237" s="25"/>
      <c r="D237" s="25"/>
      <c r="E237" s="25">
        <v>7800</v>
      </c>
      <c r="F237" s="22"/>
      <c r="K237" s="47"/>
      <c r="M237" s="47"/>
    </row>
    <row r="238" spans="1:14" x14ac:dyDescent="0.25">
      <c r="A238" s="23">
        <v>46154</v>
      </c>
      <c r="B238" s="24" t="s">
        <v>364</v>
      </c>
      <c r="C238" s="25"/>
      <c r="D238" s="25"/>
      <c r="E238" s="25">
        <v>7100</v>
      </c>
      <c r="F238" s="22"/>
      <c r="K238" s="47"/>
      <c r="M238" s="47"/>
    </row>
    <row r="239" spans="1:14" x14ac:dyDescent="0.25">
      <c r="A239" s="23">
        <v>46155</v>
      </c>
      <c r="B239" s="24" t="s">
        <v>369</v>
      </c>
      <c r="C239" s="25"/>
      <c r="D239" s="25"/>
      <c r="E239" s="25">
        <v>100000</v>
      </c>
      <c r="F239" s="22"/>
      <c r="H239" t="s">
        <v>370</v>
      </c>
      <c r="J239">
        <v>41465</v>
      </c>
      <c r="K239" s="47" t="s">
        <v>371</v>
      </c>
      <c r="M239" s="47"/>
    </row>
    <row r="240" spans="1:14" x14ac:dyDescent="0.25">
      <c r="A240" s="23">
        <v>46157</v>
      </c>
      <c r="B240" s="24" t="s">
        <v>372</v>
      </c>
      <c r="C240" s="25"/>
      <c r="D240" s="25"/>
      <c r="E240" s="25">
        <v>35000</v>
      </c>
      <c r="F240" s="22"/>
      <c r="H240" t="s">
        <v>374</v>
      </c>
      <c r="J240">
        <v>20000</v>
      </c>
      <c r="K240" s="47"/>
      <c r="M240" s="47"/>
    </row>
    <row r="241" spans="1:13" x14ac:dyDescent="0.25">
      <c r="A241" s="23">
        <v>46159</v>
      </c>
      <c r="B241" s="24" t="s">
        <v>373</v>
      </c>
      <c r="C241" s="25"/>
      <c r="D241" s="25"/>
      <c r="E241" s="25">
        <v>3050</v>
      </c>
      <c r="F241" s="22"/>
      <c r="H241" t="s">
        <v>226</v>
      </c>
      <c r="J241">
        <v>61465</v>
      </c>
      <c r="K241" s="47"/>
      <c r="M241" s="47"/>
    </row>
    <row r="242" spans="1:13" x14ac:dyDescent="0.25">
      <c r="A242" s="23">
        <v>46164</v>
      </c>
      <c r="B242" s="24" t="s">
        <v>376</v>
      </c>
      <c r="C242" s="25"/>
      <c r="D242" s="25"/>
      <c r="E242" s="25">
        <v>27000</v>
      </c>
      <c r="F242" s="22"/>
      <c r="K242" s="47"/>
      <c r="M242" s="47"/>
    </row>
    <row r="243" spans="1:13" x14ac:dyDescent="0.25">
      <c r="A243" s="23">
        <v>46165</v>
      </c>
      <c r="B243" s="24" t="s">
        <v>375</v>
      </c>
      <c r="C243" s="25">
        <v>22500</v>
      </c>
      <c r="D243" s="25"/>
      <c r="E243" s="25"/>
      <c r="F243" s="22"/>
      <c r="K243" s="47"/>
      <c r="M243" s="47"/>
    </row>
    <row r="244" spans="1:13" x14ac:dyDescent="0.25">
      <c r="A244" s="23">
        <v>46167</v>
      </c>
      <c r="B244" s="24" t="s">
        <v>378</v>
      </c>
      <c r="C244" s="25">
        <v>61465</v>
      </c>
      <c r="D244" s="25"/>
      <c r="E244" s="25"/>
      <c r="F244" s="22"/>
      <c r="K244" s="47"/>
      <c r="M244" s="47"/>
    </row>
    <row r="245" spans="1:13" x14ac:dyDescent="0.25">
      <c r="A245" s="23">
        <v>45813</v>
      </c>
      <c r="B245" s="24" t="s">
        <v>379</v>
      </c>
      <c r="C245" s="25">
        <v>6000</v>
      </c>
      <c r="D245" s="25"/>
      <c r="E245" s="25"/>
      <c r="F245" s="22"/>
      <c r="K245" s="47"/>
      <c r="M245" s="47"/>
    </row>
    <row r="246" spans="1:13" x14ac:dyDescent="0.25">
      <c r="A246" s="23">
        <v>46178</v>
      </c>
      <c r="B246" s="24" t="s">
        <v>380</v>
      </c>
      <c r="C246" s="25"/>
      <c r="D246" s="25"/>
      <c r="E246" s="25">
        <v>94311</v>
      </c>
      <c r="F246" s="22"/>
      <c r="K246" s="47"/>
      <c r="M246" s="47"/>
    </row>
    <row r="247" spans="1:13" x14ac:dyDescent="0.25">
      <c r="A247" s="23" t="s">
        <v>384</v>
      </c>
      <c r="B247" s="24" t="s">
        <v>386</v>
      </c>
      <c r="C247" s="25">
        <v>160040</v>
      </c>
      <c r="D247" s="25"/>
      <c r="E247" s="25"/>
      <c r="F247" s="22"/>
      <c r="K247" s="47"/>
      <c r="M247" s="47"/>
    </row>
    <row r="248" spans="1:13" x14ac:dyDescent="0.25">
      <c r="A248" s="23" t="s">
        <v>384</v>
      </c>
      <c r="B248" s="24" t="s">
        <v>188</v>
      </c>
      <c r="C248" s="25"/>
      <c r="D248" s="25"/>
      <c r="E248" s="25">
        <v>4000</v>
      </c>
      <c r="F248" s="22"/>
      <c r="K248" s="47"/>
      <c r="M248" s="47"/>
    </row>
    <row r="249" spans="1:13" x14ac:dyDescent="0.25">
      <c r="A249" s="23" t="s">
        <v>384</v>
      </c>
      <c r="B249" s="24" t="s">
        <v>387</v>
      </c>
      <c r="C249" s="25"/>
      <c r="D249" s="25">
        <v>66100</v>
      </c>
      <c r="E249" s="25"/>
      <c r="F249" s="22"/>
      <c r="K249" s="47"/>
      <c r="M249" s="47"/>
    </row>
    <row r="250" spans="1:13" x14ac:dyDescent="0.25">
      <c r="A250" s="23" t="s">
        <v>384</v>
      </c>
      <c r="B250" s="24" t="s">
        <v>82</v>
      </c>
      <c r="C250" s="25"/>
      <c r="D250" s="25"/>
      <c r="E250" s="25">
        <v>14000</v>
      </c>
      <c r="F250" s="22"/>
      <c r="K250" s="47"/>
      <c r="M250" s="47"/>
    </row>
    <row r="251" spans="1:13" x14ac:dyDescent="0.25">
      <c r="A251" s="23" t="s">
        <v>384</v>
      </c>
      <c r="B251" s="24" t="s">
        <v>309</v>
      </c>
      <c r="C251" s="25"/>
      <c r="D251" s="25"/>
      <c r="E251" s="25">
        <v>15000</v>
      </c>
      <c r="F251" s="22"/>
      <c r="K251" s="47"/>
      <c r="M251" s="47"/>
    </row>
    <row r="252" spans="1:13" x14ac:dyDescent="0.25">
      <c r="A252" s="23" t="s">
        <v>384</v>
      </c>
      <c r="B252" s="24" t="s">
        <v>95</v>
      </c>
      <c r="C252" s="25"/>
      <c r="D252" s="25"/>
      <c r="E252" s="25">
        <v>11621</v>
      </c>
      <c r="F252" s="22"/>
      <c r="K252" s="47"/>
      <c r="M252" s="47"/>
    </row>
    <row r="253" spans="1:13" x14ac:dyDescent="0.25">
      <c r="A253" s="23"/>
      <c r="B253" s="24"/>
      <c r="C253" s="25"/>
      <c r="D253" s="25"/>
      <c r="E253" s="25"/>
      <c r="F253" s="22"/>
      <c r="K253" s="47"/>
      <c r="M253" s="47"/>
    </row>
    <row r="254" spans="1:13" x14ac:dyDescent="0.25">
      <c r="A254" s="23"/>
      <c r="B254" s="24"/>
      <c r="C254" s="25"/>
      <c r="D254" s="25"/>
      <c r="E254" s="25"/>
      <c r="F254" s="22"/>
      <c r="K254" s="47"/>
      <c r="M254" s="47"/>
    </row>
    <row r="255" spans="1:13" x14ac:dyDescent="0.25">
      <c r="A255" s="23"/>
      <c r="B255" s="24"/>
      <c r="C255" s="25"/>
      <c r="D255" s="25"/>
      <c r="E255" s="25"/>
      <c r="F255" s="22"/>
      <c r="K255" s="47"/>
      <c r="M255" s="47"/>
    </row>
    <row r="256" spans="1:13" x14ac:dyDescent="0.25">
      <c r="A256" s="23"/>
      <c r="B256" s="24"/>
      <c r="C256" s="25"/>
      <c r="D256" s="25"/>
      <c r="E256" s="25"/>
      <c r="F256" s="22"/>
      <c r="K256" s="47"/>
      <c r="M256" s="47"/>
    </row>
    <row r="257" spans="1:14" x14ac:dyDescent="0.25">
      <c r="A257" s="23"/>
      <c r="B257" s="24"/>
      <c r="C257" s="25"/>
      <c r="D257" s="25"/>
      <c r="E257" s="25"/>
      <c r="F257" s="22"/>
      <c r="K257" s="47"/>
      <c r="M257" s="47"/>
    </row>
    <row r="258" spans="1:14" x14ac:dyDescent="0.25">
      <c r="A258" s="6" t="s">
        <v>10</v>
      </c>
      <c r="B258" s="6"/>
      <c r="C258" s="14">
        <f>SUM(C2:C257)</f>
        <v>5107725</v>
      </c>
      <c r="D258" s="14">
        <f>SUM(D2:D257)</f>
        <v>1990620</v>
      </c>
      <c r="E258" s="14">
        <f>SUM(E2:E257)</f>
        <v>3067105</v>
      </c>
      <c r="F258" s="13">
        <f>+C258-D258-E258</f>
        <v>50000</v>
      </c>
      <c r="L258" s="42"/>
      <c r="M258" s="42"/>
      <c r="N258" s="42"/>
    </row>
    <row r="259" spans="1:14" x14ac:dyDescent="0.25">
      <c r="A259" s="19"/>
      <c r="B259" s="18"/>
      <c r="L259" s="42"/>
      <c r="M259" s="42"/>
      <c r="N259" s="42"/>
    </row>
    <row r="260" spans="1:14" x14ac:dyDescent="0.25">
      <c r="A260" s="19"/>
      <c r="B260" s="18"/>
      <c r="I260" s="45"/>
      <c r="J260" s="45"/>
      <c r="L260" s="42"/>
      <c r="M260" s="42"/>
      <c r="N260" s="42"/>
    </row>
    <row r="261" spans="1:14" x14ac:dyDescent="0.25">
      <c r="A261" s="19"/>
      <c r="B261" s="18"/>
      <c r="I261" s="45"/>
      <c r="J261" s="45"/>
    </row>
    <row r="262" spans="1:14" x14ac:dyDescent="0.25">
      <c r="A262" s="19"/>
      <c r="B262" s="18"/>
      <c r="I262" s="45"/>
      <c r="J262" s="45"/>
      <c r="L262" s="42"/>
      <c r="M262" s="42"/>
      <c r="N262" s="42"/>
    </row>
    <row r="264" spans="1:14" x14ac:dyDescent="0.25">
      <c r="J264" s="45"/>
      <c r="M264" s="42"/>
    </row>
    <row r="265" spans="1:14" x14ac:dyDescent="0.25">
      <c r="J265" s="45"/>
      <c r="M265" s="42"/>
    </row>
    <row r="266" spans="1:14" x14ac:dyDescent="0.25">
      <c r="J266" s="45"/>
    </row>
    <row r="267" spans="1:14" x14ac:dyDescent="0.25">
      <c r="J267" s="45"/>
    </row>
    <row r="268" spans="1:14" x14ac:dyDescent="0.25">
      <c r="C268" s="23"/>
      <c r="D268" s="24"/>
      <c r="E268" s="25"/>
      <c r="F268" s="25"/>
      <c r="G268" s="25"/>
      <c r="H268" s="22"/>
    </row>
    <row r="269" spans="1:14" x14ac:dyDescent="0.25">
      <c r="C269" s="23"/>
      <c r="D269" s="24"/>
      <c r="E269" s="25"/>
      <c r="F269" s="25"/>
      <c r="G269" s="25"/>
      <c r="H269" s="22"/>
    </row>
    <row r="270" spans="1:14" x14ac:dyDescent="0.25">
      <c r="C270" s="23"/>
      <c r="D270" s="24"/>
      <c r="E270" s="25"/>
      <c r="F270" s="25"/>
      <c r="G270" s="25"/>
      <c r="H270" s="22"/>
    </row>
    <row r="271" spans="1:14" x14ac:dyDescent="0.25">
      <c r="C271" s="23"/>
      <c r="D271" s="24"/>
      <c r="E271" s="25"/>
      <c r="F271" s="25"/>
      <c r="G271" s="25"/>
      <c r="H271" s="22"/>
    </row>
    <row r="272" spans="1:14" x14ac:dyDescent="0.25">
      <c r="C272" s="23"/>
      <c r="D272" s="24"/>
      <c r="E272" s="25"/>
      <c r="F272" s="25"/>
      <c r="G272" s="25"/>
      <c r="H272" s="22"/>
    </row>
    <row r="273" spans="3:10" x14ac:dyDescent="0.25">
      <c r="C273" s="23"/>
      <c r="D273" s="24"/>
      <c r="E273" s="25"/>
      <c r="F273" s="25"/>
      <c r="G273" s="25"/>
      <c r="H273" s="22"/>
    </row>
    <row r="274" spans="3:10" x14ac:dyDescent="0.25">
      <c r="C274" s="23"/>
      <c r="D274" s="24"/>
      <c r="E274" s="25"/>
      <c r="F274" s="25"/>
      <c r="G274" s="25"/>
      <c r="H274" s="22"/>
    </row>
    <row r="275" spans="3:10" x14ac:dyDescent="0.25">
      <c r="C275" s="23"/>
      <c r="D275" s="24"/>
      <c r="E275" s="25"/>
      <c r="F275" s="25"/>
      <c r="G275" s="25"/>
      <c r="H275" s="22"/>
    </row>
    <row r="276" spans="3:10" x14ac:dyDescent="0.25">
      <c r="C276" s="23"/>
      <c r="D276" s="24"/>
      <c r="E276" s="25"/>
      <c r="F276" s="25"/>
      <c r="G276" s="25"/>
      <c r="H276" s="22"/>
    </row>
    <row r="277" spans="3:10" x14ac:dyDescent="0.25">
      <c r="C277" s="23"/>
      <c r="D277" s="24"/>
      <c r="E277" s="25"/>
      <c r="F277" s="25"/>
      <c r="G277" s="25"/>
      <c r="H277" s="22"/>
    </row>
    <row r="278" spans="3:10" x14ac:dyDescent="0.25">
      <c r="C278" s="23"/>
      <c r="D278" s="24"/>
      <c r="E278" s="25"/>
      <c r="F278" s="25"/>
      <c r="G278" s="25"/>
      <c r="H278" s="22"/>
    </row>
    <row r="279" spans="3:10" x14ac:dyDescent="0.25">
      <c r="C279" s="23"/>
      <c r="D279" s="24"/>
      <c r="E279" s="25"/>
      <c r="F279" s="25"/>
      <c r="G279" s="25"/>
      <c r="H279" s="22"/>
    </row>
    <row r="280" spans="3:10" x14ac:dyDescent="0.25">
      <c r="C280" s="23"/>
      <c r="D280" s="24"/>
      <c r="E280" s="25"/>
      <c r="F280" s="25"/>
      <c r="G280" s="25"/>
      <c r="H280" s="22"/>
    </row>
    <row r="281" spans="3:10" x14ac:dyDescent="0.25">
      <c r="C281" s="23"/>
      <c r="D281" s="24"/>
      <c r="E281" s="25"/>
      <c r="F281" s="25"/>
      <c r="G281" s="25"/>
      <c r="H281" s="22"/>
    </row>
    <row r="282" spans="3:10" x14ac:dyDescent="0.25">
      <c r="J282" s="45"/>
    </row>
    <row r="283" spans="3:10" x14ac:dyDescent="0.25">
      <c r="C283" s="23"/>
      <c r="D283" s="24"/>
      <c r="E283" s="25"/>
      <c r="F283" s="25"/>
      <c r="G283" s="25"/>
      <c r="H283" s="22"/>
    </row>
    <row r="284" spans="3:10" x14ac:dyDescent="0.25">
      <c r="C284" s="23"/>
      <c r="D284" s="24"/>
      <c r="E284" s="25"/>
      <c r="F284" s="25"/>
      <c r="G284" s="25"/>
      <c r="H284" s="22"/>
    </row>
  </sheetData>
  <mergeCells count="1">
    <mergeCell ref="G109:I10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C621-0877-4720-99B5-9FCC53A6ED5F}">
  <dimension ref="A1:I30"/>
  <sheetViews>
    <sheetView workbookViewId="0">
      <selection activeCell="D15" sqref="D15"/>
    </sheetView>
  </sheetViews>
  <sheetFormatPr defaultRowHeight="15" x14ac:dyDescent="0.25"/>
  <cols>
    <col min="1" max="1" width="14" customWidth="1"/>
    <col min="2" max="2" width="46.28515625" customWidth="1"/>
    <col min="3" max="5" width="13.7109375" customWidth="1"/>
  </cols>
  <sheetData>
    <row r="1" spans="1:8" ht="65.25" customHeight="1" thickBot="1" x14ac:dyDescent="0.4">
      <c r="A1" s="52" t="s">
        <v>20</v>
      </c>
      <c r="B1" s="53"/>
      <c r="C1" s="53"/>
      <c r="D1" s="53"/>
      <c r="E1" s="54"/>
      <c r="F1" s="17"/>
      <c r="G1" s="17"/>
      <c r="H1" s="17"/>
    </row>
    <row r="2" spans="1:8" x14ac:dyDescent="0.25">
      <c r="A2" s="16" t="s">
        <v>3</v>
      </c>
      <c r="B2" s="16" t="s">
        <v>19</v>
      </c>
      <c r="C2" s="16" t="s">
        <v>18</v>
      </c>
      <c r="D2" s="16" t="s">
        <v>17</v>
      </c>
      <c r="E2" s="16" t="s">
        <v>6</v>
      </c>
    </row>
    <row r="3" spans="1:8" x14ac:dyDescent="0.25">
      <c r="A3" s="4">
        <v>45617</v>
      </c>
      <c r="B3" s="3" t="s">
        <v>16</v>
      </c>
      <c r="C3" s="5">
        <v>212865</v>
      </c>
      <c r="D3" s="5"/>
      <c r="E3" s="5">
        <f>+C3-D3</f>
        <v>212865</v>
      </c>
    </row>
    <row r="4" spans="1:8" x14ac:dyDescent="0.25">
      <c r="A4" s="4">
        <v>45623</v>
      </c>
      <c r="B4" s="3" t="s">
        <v>23</v>
      </c>
      <c r="C4" s="5">
        <v>51896</v>
      </c>
      <c r="D4" s="5"/>
      <c r="E4" s="5">
        <f t="shared" ref="E4:E8" si="0">+E3+C4-D4</f>
        <v>264761</v>
      </c>
    </row>
    <row r="5" spans="1:8" x14ac:dyDescent="0.25">
      <c r="A5" s="4">
        <v>45649</v>
      </c>
      <c r="B5" s="3" t="s">
        <v>73</v>
      </c>
      <c r="C5" s="5">
        <v>126684</v>
      </c>
      <c r="D5" s="5"/>
      <c r="E5" s="5">
        <f t="shared" si="0"/>
        <v>391445</v>
      </c>
      <c r="G5" t="s">
        <v>217</v>
      </c>
    </row>
    <row r="6" spans="1:8" x14ac:dyDescent="0.25">
      <c r="A6" s="4">
        <v>45659</v>
      </c>
      <c r="B6" s="3" t="s">
        <v>75</v>
      </c>
      <c r="C6" s="5"/>
      <c r="D6" s="5">
        <v>50000</v>
      </c>
      <c r="E6" s="5">
        <f t="shared" si="0"/>
        <v>341445</v>
      </c>
      <c r="G6">
        <v>330780</v>
      </c>
    </row>
    <row r="7" spans="1:8" x14ac:dyDescent="0.25">
      <c r="A7" s="4">
        <v>45672</v>
      </c>
      <c r="B7" s="3" t="s">
        <v>97</v>
      </c>
      <c r="C7" s="5"/>
      <c r="D7" s="5">
        <v>2432</v>
      </c>
      <c r="E7" s="5">
        <f t="shared" si="0"/>
        <v>339013</v>
      </c>
    </row>
    <row r="8" spans="1:8" x14ac:dyDescent="0.25">
      <c r="A8" s="4">
        <v>45672</v>
      </c>
      <c r="B8" s="3" t="s">
        <v>98</v>
      </c>
      <c r="C8" s="5"/>
      <c r="D8" s="5">
        <v>103275</v>
      </c>
      <c r="E8" s="5">
        <f t="shared" si="0"/>
        <v>235738</v>
      </c>
    </row>
    <row r="9" spans="1:8" x14ac:dyDescent="0.25">
      <c r="A9" s="4">
        <v>45688</v>
      </c>
      <c r="B9" s="3" t="s">
        <v>218</v>
      </c>
      <c r="C9" s="5"/>
      <c r="D9" s="5">
        <v>3089</v>
      </c>
      <c r="E9" s="5">
        <v>232649</v>
      </c>
    </row>
    <row r="10" spans="1:8" x14ac:dyDescent="0.25">
      <c r="A10" s="4">
        <v>45735</v>
      </c>
      <c r="B10" s="3" t="s">
        <v>219</v>
      </c>
      <c r="C10" s="5"/>
      <c r="D10" s="5">
        <v>252946</v>
      </c>
      <c r="E10" s="5">
        <v>20297</v>
      </c>
    </row>
    <row r="11" spans="1:8" x14ac:dyDescent="0.25">
      <c r="A11" s="4">
        <v>45736</v>
      </c>
      <c r="B11" s="3" t="s">
        <v>220</v>
      </c>
      <c r="C11" s="5"/>
      <c r="D11" s="5">
        <v>1050</v>
      </c>
      <c r="E11" s="5"/>
    </row>
    <row r="12" spans="1:8" x14ac:dyDescent="0.25">
      <c r="A12" s="4">
        <v>45840</v>
      </c>
      <c r="B12" s="3" t="s">
        <v>221</v>
      </c>
      <c r="C12" s="5"/>
      <c r="D12" s="5">
        <v>5508</v>
      </c>
      <c r="E12" s="5"/>
    </row>
    <row r="13" spans="1:8" x14ac:dyDescent="0.25">
      <c r="A13" s="4"/>
      <c r="B13" s="3"/>
      <c r="C13" s="5"/>
      <c r="D13" s="5"/>
      <c r="E13" s="5"/>
    </row>
    <row r="14" spans="1:8" x14ac:dyDescent="0.25">
      <c r="A14" s="4"/>
      <c r="B14" s="3"/>
      <c r="C14" s="5"/>
      <c r="D14" s="5"/>
      <c r="E14" s="5"/>
    </row>
    <row r="15" spans="1:8" x14ac:dyDescent="0.25">
      <c r="A15" s="4"/>
      <c r="B15" s="3"/>
      <c r="C15" s="5"/>
      <c r="D15" s="5"/>
      <c r="E15" s="5"/>
    </row>
    <row r="16" spans="1:8" x14ac:dyDescent="0.25">
      <c r="A16" s="4"/>
      <c r="B16" s="3"/>
      <c r="C16" s="5"/>
      <c r="D16" s="5"/>
      <c r="E16" s="5"/>
    </row>
    <row r="17" spans="1:9" x14ac:dyDescent="0.25">
      <c r="A17" s="4"/>
      <c r="B17" s="3"/>
      <c r="C17" s="5"/>
      <c r="D17" s="5"/>
      <c r="E17" s="5"/>
    </row>
    <row r="18" spans="1:9" x14ac:dyDescent="0.25">
      <c r="A18" s="4"/>
      <c r="B18" s="3"/>
      <c r="C18" s="5"/>
      <c r="D18" s="5"/>
      <c r="E18" s="5"/>
    </row>
    <row r="19" spans="1:9" x14ac:dyDescent="0.25">
      <c r="A19" s="4"/>
      <c r="B19" s="3"/>
      <c r="C19" s="5"/>
      <c r="D19" s="5"/>
      <c r="E19" s="5"/>
    </row>
    <row r="20" spans="1:9" x14ac:dyDescent="0.25">
      <c r="A20" s="4"/>
      <c r="B20" s="3"/>
      <c r="C20" s="5"/>
      <c r="D20" s="5"/>
      <c r="E20" s="5"/>
    </row>
    <row r="21" spans="1:9" x14ac:dyDescent="0.25">
      <c r="A21" s="4"/>
      <c r="B21" s="3"/>
      <c r="C21" s="5"/>
      <c r="D21" s="5"/>
      <c r="E21" s="5"/>
    </row>
    <row r="22" spans="1:9" x14ac:dyDescent="0.25">
      <c r="A22" s="4"/>
      <c r="B22" s="3"/>
      <c r="C22" s="5"/>
      <c r="D22" s="5"/>
      <c r="E22" s="5"/>
    </row>
    <row r="23" spans="1:9" x14ac:dyDescent="0.25">
      <c r="A23" s="4"/>
      <c r="B23" s="3"/>
      <c r="C23" s="5"/>
      <c r="D23" s="5"/>
      <c r="E23" s="5"/>
    </row>
    <row r="24" spans="1:9" x14ac:dyDescent="0.25">
      <c r="A24" s="4"/>
      <c r="B24" s="3"/>
      <c r="C24" s="5"/>
      <c r="D24" s="5"/>
      <c r="E24" s="5"/>
    </row>
    <row r="25" spans="1:9" x14ac:dyDescent="0.25">
      <c r="A25" s="4"/>
      <c r="B25" s="3"/>
      <c r="C25" s="5"/>
      <c r="D25" s="5"/>
      <c r="E25" s="5"/>
    </row>
    <row r="26" spans="1:9" x14ac:dyDescent="0.25">
      <c r="A26" s="4"/>
      <c r="B26" s="3"/>
      <c r="C26" s="5"/>
      <c r="D26" s="5"/>
      <c r="E26" s="5"/>
      <c r="I26" s="8"/>
    </row>
    <row r="27" spans="1:9" x14ac:dyDescent="0.25">
      <c r="A27" s="4"/>
      <c r="B27" s="3"/>
      <c r="C27" s="5"/>
      <c r="D27" s="5"/>
      <c r="E27" s="5"/>
    </row>
    <row r="28" spans="1:9" x14ac:dyDescent="0.25">
      <c r="A28" s="4"/>
      <c r="B28" s="3"/>
      <c r="C28" s="5"/>
      <c r="D28" s="5"/>
      <c r="E28" s="5"/>
    </row>
    <row r="29" spans="1:9" x14ac:dyDescent="0.25">
      <c r="A29" s="4"/>
      <c r="B29" s="3"/>
      <c r="C29" s="5"/>
      <c r="D29" s="5"/>
      <c r="E29" s="12"/>
    </row>
    <row r="30" spans="1:9" x14ac:dyDescent="0.25">
      <c r="A30" s="9" t="s">
        <v>10</v>
      </c>
      <c r="B30" s="6"/>
      <c r="C30" s="10">
        <f>SUM(C3:C29)</f>
        <v>391445</v>
      </c>
      <c r="D30" s="10">
        <f>SUM(D3:D29)</f>
        <v>418300</v>
      </c>
      <c r="E30" s="15">
        <f>+C30-D30</f>
        <v>-26855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D3AC-97CF-463A-BC50-2872C4749B4C}">
  <dimension ref="A1:G84"/>
  <sheetViews>
    <sheetView workbookViewId="0">
      <pane ySplit="2" topLeftCell="A60" activePane="bottomLeft" state="frozen"/>
      <selection pane="bottomLeft" activeCell="B86" sqref="B86"/>
    </sheetView>
  </sheetViews>
  <sheetFormatPr defaultRowHeight="15" x14ac:dyDescent="0.25"/>
  <cols>
    <col min="1" max="1" width="14" customWidth="1"/>
    <col min="2" max="2" width="52.5703125" customWidth="1"/>
    <col min="3" max="5" width="13.7109375" customWidth="1"/>
  </cols>
  <sheetData>
    <row r="1" spans="1:7" ht="61.5" customHeight="1" thickBot="1" x14ac:dyDescent="0.4">
      <c r="A1" s="52" t="s">
        <v>21</v>
      </c>
      <c r="B1" s="53"/>
      <c r="C1" s="53"/>
      <c r="D1" s="53"/>
      <c r="E1" s="54"/>
    </row>
    <row r="2" spans="1:7" x14ac:dyDescent="0.25">
      <c r="A2" s="16" t="s">
        <v>3</v>
      </c>
      <c r="B2" s="16" t="s">
        <v>19</v>
      </c>
      <c r="C2" s="16" t="s">
        <v>18</v>
      </c>
      <c r="D2" s="16" t="s">
        <v>17</v>
      </c>
      <c r="E2" s="16" t="s">
        <v>6</v>
      </c>
    </row>
    <row r="3" spans="1:7" x14ac:dyDescent="0.25">
      <c r="A3" s="4">
        <v>45617</v>
      </c>
      <c r="B3" s="3" t="s">
        <v>24</v>
      </c>
      <c r="C3" s="14">
        <v>182036</v>
      </c>
      <c r="D3" s="5"/>
      <c r="E3" s="5">
        <f>+C3-D3</f>
        <v>182036</v>
      </c>
      <c r="F3" t="s">
        <v>127</v>
      </c>
    </row>
    <row r="4" spans="1:7" x14ac:dyDescent="0.25">
      <c r="A4" s="4">
        <v>45621</v>
      </c>
      <c r="B4" s="3" t="s">
        <v>38</v>
      </c>
      <c r="C4" s="14">
        <v>183600</v>
      </c>
      <c r="D4" s="5"/>
      <c r="E4" s="5">
        <f t="shared" ref="E4:E42" si="0">+E3+C4-D4</f>
        <v>365636</v>
      </c>
      <c r="F4" t="s">
        <v>127</v>
      </c>
    </row>
    <row r="5" spans="1:7" x14ac:dyDescent="0.25">
      <c r="A5" s="4">
        <v>45623</v>
      </c>
      <c r="B5" s="3" t="s">
        <v>25</v>
      </c>
      <c r="C5" s="14">
        <v>34769</v>
      </c>
      <c r="D5" s="5"/>
      <c r="E5" s="5">
        <f t="shared" si="0"/>
        <v>400405</v>
      </c>
      <c r="F5" t="s">
        <v>127</v>
      </c>
    </row>
    <row r="6" spans="1:7" x14ac:dyDescent="0.25">
      <c r="A6" s="4">
        <v>45628</v>
      </c>
      <c r="B6" s="3" t="s">
        <v>182</v>
      </c>
      <c r="C6" s="14">
        <v>229500</v>
      </c>
      <c r="D6" s="5"/>
      <c r="E6" s="5">
        <f t="shared" si="0"/>
        <v>629905</v>
      </c>
      <c r="F6" t="s">
        <v>127</v>
      </c>
    </row>
    <row r="7" spans="1:7" x14ac:dyDescent="0.25">
      <c r="A7" s="4">
        <v>45628</v>
      </c>
      <c r="B7" s="3" t="s">
        <v>37</v>
      </c>
      <c r="C7" s="14">
        <v>166120</v>
      </c>
      <c r="D7" s="5"/>
      <c r="E7" s="5">
        <f t="shared" si="0"/>
        <v>796025</v>
      </c>
      <c r="F7" t="s">
        <v>127</v>
      </c>
    </row>
    <row r="8" spans="1:7" x14ac:dyDescent="0.25">
      <c r="A8" s="4">
        <v>45633</v>
      </c>
      <c r="B8" s="3" t="s">
        <v>53</v>
      </c>
      <c r="C8" s="14">
        <v>70898</v>
      </c>
      <c r="D8" s="5"/>
      <c r="E8" s="5">
        <f t="shared" si="0"/>
        <v>866923</v>
      </c>
      <c r="F8" t="s">
        <v>127</v>
      </c>
    </row>
    <row r="9" spans="1:7" x14ac:dyDescent="0.25">
      <c r="A9" s="4">
        <v>45639</v>
      </c>
      <c r="B9" s="3" t="s">
        <v>62</v>
      </c>
      <c r="C9" s="14">
        <v>61426</v>
      </c>
      <c r="D9" s="5"/>
      <c r="E9" s="5">
        <f t="shared" si="0"/>
        <v>928349</v>
      </c>
      <c r="F9" t="s">
        <v>127</v>
      </c>
    </row>
    <row r="10" spans="1:7" x14ac:dyDescent="0.25">
      <c r="A10" s="4">
        <v>45640</v>
      </c>
      <c r="B10" s="3" t="s">
        <v>64</v>
      </c>
      <c r="C10" s="14">
        <v>95319</v>
      </c>
      <c r="D10" s="5"/>
      <c r="E10" s="5">
        <f t="shared" si="0"/>
        <v>1023668</v>
      </c>
      <c r="F10" t="s">
        <v>127</v>
      </c>
    </row>
    <row r="11" spans="1:7" x14ac:dyDescent="0.25">
      <c r="A11" s="4">
        <v>45649</v>
      </c>
      <c r="B11" s="3" t="s">
        <v>74</v>
      </c>
      <c r="C11" s="14">
        <v>137700</v>
      </c>
      <c r="D11" s="5"/>
      <c r="E11" s="5">
        <f t="shared" si="0"/>
        <v>1161368</v>
      </c>
      <c r="F11" t="s">
        <v>127</v>
      </c>
      <c r="G11" t="s">
        <v>128</v>
      </c>
    </row>
    <row r="12" spans="1:7" x14ac:dyDescent="0.25">
      <c r="A12" s="4">
        <v>45649</v>
      </c>
      <c r="B12" s="6" t="s">
        <v>183</v>
      </c>
      <c r="C12" s="14">
        <v>160650</v>
      </c>
      <c r="D12" s="5"/>
      <c r="E12" s="5">
        <f t="shared" si="0"/>
        <v>1322018</v>
      </c>
      <c r="F12" t="s">
        <v>127</v>
      </c>
    </row>
    <row r="13" spans="1:7" x14ac:dyDescent="0.25">
      <c r="A13" s="4">
        <v>45661</v>
      </c>
      <c r="B13" s="6" t="s">
        <v>184</v>
      </c>
      <c r="C13" s="14">
        <v>220320</v>
      </c>
      <c r="D13" s="5"/>
      <c r="E13" s="5">
        <f t="shared" si="0"/>
        <v>1542338</v>
      </c>
      <c r="F13" t="s">
        <v>127</v>
      </c>
    </row>
    <row r="14" spans="1:7" x14ac:dyDescent="0.25">
      <c r="A14" s="4">
        <v>45664</v>
      </c>
      <c r="B14" s="3" t="s">
        <v>75</v>
      </c>
      <c r="C14" s="14"/>
      <c r="D14" s="5">
        <v>400000</v>
      </c>
      <c r="E14" s="5">
        <f t="shared" si="0"/>
        <v>1142338</v>
      </c>
    </row>
    <row r="15" spans="1:7" x14ac:dyDescent="0.25">
      <c r="A15" s="4">
        <v>45664</v>
      </c>
      <c r="B15" s="3" t="s">
        <v>86</v>
      </c>
      <c r="C15" s="14"/>
      <c r="D15" s="5">
        <v>128230</v>
      </c>
      <c r="E15" s="5">
        <f t="shared" si="0"/>
        <v>1014108</v>
      </c>
    </row>
    <row r="16" spans="1:7" x14ac:dyDescent="0.25">
      <c r="A16" s="4">
        <v>45665</v>
      </c>
      <c r="B16" s="3" t="s">
        <v>129</v>
      </c>
      <c r="C16" s="14">
        <v>235620</v>
      </c>
      <c r="D16" s="5"/>
      <c r="E16" s="5">
        <f t="shared" si="0"/>
        <v>1249728</v>
      </c>
      <c r="F16" t="s">
        <v>127</v>
      </c>
    </row>
    <row r="17" spans="1:7" x14ac:dyDescent="0.25">
      <c r="A17" s="4">
        <v>45673</v>
      </c>
      <c r="B17" s="3" t="s">
        <v>96</v>
      </c>
      <c r="C17" s="14"/>
      <c r="D17" s="5">
        <v>100000</v>
      </c>
      <c r="E17" s="5">
        <f t="shared" si="0"/>
        <v>1149728</v>
      </c>
    </row>
    <row r="18" spans="1:7" x14ac:dyDescent="0.25">
      <c r="A18" s="4">
        <v>45675</v>
      </c>
      <c r="B18" s="3" t="s">
        <v>130</v>
      </c>
      <c r="C18" s="14">
        <v>96504</v>
      </c>
      <c r="D18" s="5"/>
      <c r="E18" s="5">
        <f t="shared" si="0"/>
        <v>1246232</v>
      </c>
    </row>
    <row r="19" spans="1:7" x14ac:dyDescent="0.25">
      <c r="A19" s="4">
        <v>45677</v>
      </c>
      <c r="B19" s="3" t="s">
        <v>96</v>
      </c>
      <c r="C19" s="14"/>
      <c r="D19" s="5">
        <v>100000</v>
      </c>
      <c r="E19" s="5">
        <f t="shared" si="0"/>
        <v>1146232</v>
      </c>
    </row>
    <row r="20" spans="1:7" x14ac:dyDescent="0.25">
      <c r="A20" s="4">
        <v>45700</v>
      </c>
      <c r="B20" s="3" t="s">
        <v>75</v>
      </c>
      <c r="C20" s="14"/>
      <c r="D20" s="5">
        <v>262430</v>
      </c>
      <c r="E20" s="5">
        <f t="shared" si="0"/>
        <v>883802</v>
      </c>
    </row>
    <row r="21" spans="1:7" x14ac:dyDescent="0.25">
      <c r="A21" s="4">
        <v>45700</v>
      </c>
      <c r="B21" s="3" t="s">
        <v>110</v>
      </c>
      <c r="C21" s="14"/>
      <c r="D21" s="5">
        <v>24246</v>
      </c>
      <c r="E21" s="5">
        <f t="shared" si="0"/>
        <v>859556</v>
      </c>
    </row>
    <row r="22" spans="1:7" x14ac:dyDescent="0.25">
      <c r="A22" s="4">
        <v>45700</v>
      </c>
      <c r="B22" s="3" t="s">
        <v>111</v>
      </c>
      <c r="C22" s="14"/>
      <c r="D22" s="5">
        <v>8000</v>
      </c>
      <c r="E22" s="5">
        <f t="shared" si="0"/>
        <v>851556</v>
      </c>
    </row>
    <row r="23" spans="1:7" x14ac:dyDescent="0.25">
      <c r="A23" s="4">
        <v>45705</v>
      </c>
      <c r="B23" s="6" t="s">
        <v>185</v>
      </c>
      <c r="C23" s="14">
        <v>220320</v>
      </c>
      <c r="D23" s="5"/>
      <c r="E23" s="5">
        <f t="shared" si="0"/>
        <v>1071876</v>
      </c>
      <c r="F23" t="s">
        <v>127</v>
      </c>
    </row>
    <row r="24" spans="1:7" x14ac:dyDescent="0.25">
      <c r="A24" s="4">
        <v>45728</v>
      </c>
      <c r="B24" s="3" t="s">
        <v>112</v>
      </c>
      <c r="C24" s="14"/>
      <c r="D24" s="5">
        <v>4800</v>
      </c>
      <c r="E24" s="5">
        <f t="shared" si="0"/>
        <v>1067076</v>
      </c>
    </row>
    <row r="25" spans="1:7" x14ac:dyDescent="0.25">
      <c r="A25" s="4">
        <v>45728</v>
      </c>
      <c r="B25" s="3" t="s">
        <v>75</v>
      </c>
      <c r="C25" s="14"/>
      <c r="D25" s="5">
        <v>200075</v>
      </c>
      <c r="E25" s="5">
        <f t="shared" si="0"/>
        <v>867001</v>
      </c>
    </row>
    <row r="26" spans="1:7" x14ac:dyDescent="0.25">
      <c r="A26" s="4">
        <v>45741</v>
      </c>
      <c r="B26" s="3" t="s">
        <v>131</v>
      </c>
      <c r="C26" s="14">
        <v>134524</v>
      </c>
      <c r="D26" s="5"/>
      <c r="E26" s="5">
        <f t="shared" si="0"/>
        <v>1001525</v>
      </c>
    </row>
    <row r="27" spans="1:7" x14ac:dyDescent="0.25">
      <c r="A27" s="4">
        <v>45758</v>
      </c>
      <c r="B27" s="3" t="s">
        <v>132</v>
      </c>
      <c r="C27" s="14"/>
      <c r="D27" s="5">
        <v>137700</v>
      </c>
      <c r="E27" s="5">
        <f t="shared" si="0"/>
        <v>863825</v>
      </c>
      <c r="F27" t="s">
        <v>127</v>
      </c>
      <c r="G27" t="s">
        <v>152</v>
      </c>
    </row>
    <row r="28" spans="1:7" x14ac:dyDescent="0.25">
      <c r="A28" s="9">
        <v>45772</v>
      </c>
      <c r="B28" s="6" t="s">
        <v>151</v>
      </c>
      <c r="C28" s="14">
        <v>46588</v>
      </c>
      <c r="D28" s="5"/>
      <c r="E28" s="5">
        <f t="shared" si="0"/>
        <v>910413</v>
      </c>
    </row>
    <row r="29" spans="1:7" x14ac:dyDescent="0.25">
      <c r="A29" s="4">
        <v>45776</v>
      </c>
      <c r="B29" s="6" t="s">
        <v>153</v>
      </c>
      <c r="C29" s="14">
        <v>76500</v>
      </c>
      <c r="D29" s="5"/>
      <c r="E29" s="5">
        <f t="shared" si="0"/>
        <v>986913</v>
      </c>
    </row>
    <row r="30" spans="1:7" x14ac:dyDescent="0.25">
      <c r="A30" s="4">
        <v>45813</v>
      </c>
      <c r="B30" s="3" t="s">
        <v>179</v>
      </c>
      <c r="C30" s="14">
        <v>82237</v>
      </c>
      <c r="D30" s="5"/>
      <c r="E30" s="5">
        <f t="shared" si="0"/>
        <v>1069150</v>
      </c>
    </row>
    <row r="31" spans="1:7" x14ac:dyDescent="0.25">
      <c r="A31" s="4">
        <v>45798</v>
      </c>
      <c r="B31" s="3" t="s">
        <v>75</v>
      </c>
      <c r="C31" s="14"/>
      <c r="D31" s="5">
        <v>219404</v>
      </c>
      <c r="E31" s="5">
        <f t="shared" si="0"/>
        <v>849746</v>
      </c>
    </row>
    <row r="32" spans="1:7" x14ac:dyDescent="0.25">
      <c r="A32" s="4">
        <v>45798</v>
      </c>
      <c r="B32" s="3" t="s">
        <v>162</v>
      </c>
      <c r="C32" s="14"/>
      <c r="D32" s="5">
        <v>2550</v>
      </c>
      <c r="E32" s="5">
        <f t="shared" si="0"/>
        <v>847196</v>
      </c>
    </row>
    <row r="33" spans="1:5" x14ac:dyDescent="0.25">
      <c r="A33" s="4">
        <v>45798</v>
      </c>
      <c r="B33" s="3" t="s">
        <v>163</v>
      </c>
      <c r="C33" s="14"/>
      <c r="D33" s="5">
        <v>36465</v>
      </c>
      <c r="E33" s="5">
        <f t="shared" si="0"/>
        <v>810731</v>
      </c>
    </row>
    <row r="34" spans="1:5" x14ac:dyDescent="0.25">
      <c r="A34" s="9">
        <v>45803</v>
      </c>
      <c r="B34" s="6" t="s">
        <v>164</v>
      </c>
      <c r="C34" s="14">
        <v>220320</v>
      </c>
      <c r="D34" s="5"/>
      <c r="E34" s="5">
        <f t="shared" si="0"/>
        <v>1031051</v>
      </c>
    </row>
    <row r="35" spans="1:5" x14ac:dyDescent="0.25">
      <c r="A35" s="4">
        <v>45822</v>
      </c>
      <c r="B35" s="3" t="s">
        <v>171</v>
      </c>
      <c r="C35" s="14"/>
      <c r="D35" s="5">
        <v>226010</v>
      </c>
      <c r="E35" s="5">
        <f t="shared" si="0"/>
        <v>805041</v>
      </c>
    </row>
    <row r="36" spans="1:5" x14ac:dyDescent="0.25">
      <c r="A36" s="4">
        <v>45825</v>
      </c>
      <c r="B36" s="6" t="s">
        <v>172</v>
      </c>
      <c r="C36" s="14">
        <v>191250</v>
      </c>
      <c r="D36" s="5"/>
      <c r="E36" s="5">
        <f t="shared" si="0"/>
        <v>996291</v>
      </c>
    </row>
    <row r="37" spans="1:5" x14ac:dyDescent="0.25">
      <c r="A37" s="4">
        <v>45827</v>
      </c>
      <c r="B37" s="3" t="s">
        <v>173</v>
      </c>
      <c r="C37" s="14"/>
      <c r="D37" s="5">
        <v>198670</v>
      </c>
      <c r="E37" s="5">
        <f t="shared" si="0"/>
        <v>797621</v>
      </c>
    </row>
    <row r="38" spans="1:5" x14ac:dyDescent="0.25">
      <c r="A38" s="9">
        <v>45831</v>
      </c>
      <c r="B38" s="6" t="s">
        <v>174</v>
      </c>
      <c r="C38" s="14">
        <v>253368</v>
      </c>
      <c r="D38" s="5"/>
      <c r="E38" s="5">
        <f t="shared" si="0"/>
        <v>1050989</v>
      </c>
    </row>
    <row r="39" spans="1:5" x14ac:dyDescent="0.25">
      <c r="A39" s="4">
        <v>45831</v>
      </c>
      <c r="B39" s="6" t="s">
        <v>180</v>
      </c>
      <c r="C39" s="14">
        <v>197370</v>
      </c>
      <c r="D39" s="5"/>
      <c r="E39" s="5">
        <f t="shared" si="0"/>
        <v>1248359</v>
      </c>
    </row>
    <row r="40" spans="1:5" x14ac:dyDescent="0.25">
      <c r="A40" s="9">
        <v>45854</v>
      </c>
      <c r="B40" s="6" t="s">
        <v>174</v>
      </c>
      <c r="C40" s="14">
        <v>253368</v>
      </c>
      <c r="D40" s="5"/>
      <c r="E40" s="5">
        <f t="shared" si="0"/>
        <v>1501727</v>
      </c>
    </row>
    <row r="41" spans="1:5" x14ac:dyDescent="0.25">
      <c r="A41" s="4">
        <v>45859</v>
      </c>
      <c r="B41" s="3" t="s">
        <v>186</v>
      </c>
      <c r="C41" s="14"/>
      <c r="D41" s="5">
        <v>4207</v>
      </c>
      <c r="E41" s="5">
        <f t="shared" si="0"/>
        <v>1497520</v>
      </c>
    </row>
    <row r="42" spans="1:5" x14ac:dyDescent="0.25">
      <c r="A42" s="4">
        <v>45859</v>
      </c>
      <c r="B42" s="3" t="s">
        <v>187</v>
      </c>
      <c r="C42" s="5"/>
      <c r="D42" s="5">
        <v>30295</v>
      </c>
      <c r="E42" s="5">
        <f t="shared" si="0"/>
        <v>1467225</v>
      </c>
    </row>
    <row r="43" spans="1:5" x14ac:dyDescent="0.25">
      <c r="A43" s="4">
        <v>45859</v>
      </c>
      <c r="B43" s="3" t="s">
        <v>75</v>
      </c>
      <c r="C43" s="5"/>
      <c r="D43" s="5">
        <v>218770</v>
      </c>
      <c r="E43" s="38"/>
    </row>
    <row r="44" spans="1:5" x14ac:dyDescent="0.25">
      <c r="A44" s="4">
        <v>45884</v>
      </c>
      <c r="B44" s="6" t="s">
        <v>210</v>
      </c>
      <c r="C44" s="14">
        <v>47904</v>
      </c>
      <c r="D44" s="5"/>
      <c r="E44" s="38"/>
    </row>
    <row r="45" spans="1:5" x14ac:dyDescent="0.25">
      <c r="A45" s="4">
        <v>45884</v>
      </c>
      <c r="B45" s="3" t="s">
        <v>75</v>
      </c>
      <c r="C45" s="5"/>
      <c r="D45" s="5">
        <v>240530</v>
      </c>
      <c r="E45" s="38"/>
    </row>
    <row r="46" spans="1:5" x14ac:dyDescent="0.25">
      <c r="A46" s="4">
        <v>45885</v>
      </c>
      <c r="B46" s="3" t="s">
        <v>198</v>
      </c>
      <c r="C46" s="5"/>
      <c r="D46" s="5">
        <v>3225</v>
      </c>
      <c r="E46" s="38"/>
    </row>
    <row r="47" spans="1:5" x14ac:dyDescent="0.25">
      <c r="A47" s="4">
        <v>45898</v>
      </c>
      <c r="B47" s="6" t="s">
        <v>208</v>
      </c>
      <c r="C47" s="14">
        <v>158355</v>
      </c>
      <c r="D47" s="5"/>
      <c r="E47" s="38"/>
    </row>
    <row r="48" spans="1:5" x14ac:dyDescent="0.25">
      <c r="A48" s="4">
        <v>45898</v>
      </c>
      <c r="B48" s="6" t="s">
        <v>209</v>
      </c>
      <c r="C48" s="14">
        <v>95625</v>
      </c>
      <c r="D48" s="5"/>
      <c r="E48" s="38"/>
    </row>
    <row r="49" spans="1:5" x14ac:dyDescent="0.25">
      <c r="A49" s="4">
        <v>45916</v>
      </c>
      <c r="B49" s="6" t="s">
        <v>216</v>
      </c>
      <c r="C49" s="5"/>
      <c r="D49" s="5">
        <v>217250</v>
      </c>
      <c r="E49" s="38"/>
    </row>
    <row r="50" spans="1:5" x14ac:dyDescent="0.25">
      <c r="A50" s="4">
        <v>45917</v>
      </c>
      <c r="B50" s="40" t="s">
        <v>213</v>
      </c>
      <c r="C50" s="5"/>
      <c r="D50" s="5">
        <v>20485</v>
      </c>
      <c r="E50" s="38"/>
    </row>
    <row r="51" spans="1:5" x14ac:dyDescent="0.25">
      <c r="A51" s="4">
        <v>45926</v>
      </c>
      <c r="B51" s="40" t="s">
        <v>229</v>
      </c>
      <c r="C51" s="5"/>
      <c r="D51" s="5">
        <v>10174</v>
      </c>
      <c r="E51" s="38"/>
    </row>
    <row r="52" spans="1:5" x14ac:dyDescent="0.25">
      <c r="A52" s="4">
        <v>45936</v>
      </c>
      <c r="B52" s="40" t="s">
        <v>230</v>
      </c>
      <c r="C52" s="14">
        <v>253368</v>
      </c>
      <c r="D52" s="5"/>
      <c r="E52" s="38"/>
    </row>
    <row r="53" spans="1:5" x14ac:dyDescent="0.25">
      <c r="A53" s="4">
        <v>45946</v>
      </c>
      <c r="B53" s="40" t="s">
        <v>233</v>
      </c>
      <c r="C53" s="5"/>
      <c r="D53" s="5">
        <v>30550</v>
      </c>
      <c r="E53" s="38"/>
    </row>
    <row r="54" spans="1:5" x14ac:dyDescent="0.25">
      <c r="A54" s="4">
        <v>45946</v>
      </c>
      <c r="B54" s="40" t="s">
        <v>270</v>
      </c>
      <c r="C54" s="5"/>
      <c r="D54" s="5">
        <v>225173</v>
      </c>
      <c r="E54" s="38"/>
    </row>
    <row r="55" spans="1:5" x14ac:dyDescent="0.25">
      <c r="A55" s="9">
        <v>45950</v>
      </c>
      <c r="B55" s="6" t="s">
        <v>234</v>
      </c>
      <c r="C55" s="14">
        <v>133875</v>
      </c>
      <c r="D55" s="5"/>
      <c r="E55" s="38"/>
    </row>
    <row r="56" spans="1:5" x14ac:dyDescent="0.25">
      <c r="A56" s="4">
        <v>45975</v>
      </c>
      <c r="B56" s="40" t="s">
        <v>271</v>
      </c>
      <c r="C56" s="5"/>
      <c r="D56" s="5">
        <v>286870</v>
      </c>
      <c r="E56" s="38"/>
    </row>
    <row r="57" spans="1:5" x14ac:dyDescent="0.25">
      <c r="A57" s="4">
        <v>45987</v>
      </c>
      <c r="B57" s="40" t="s">
        <v>263</v>
      </c>
      <c r="C57" s="14">
        <v>253368</v>
      </c>
      <c r="D57" s="5"/>
      <c r="E57" s="38"/>
    </row>
    <row r="58" spans="1:5" x14ac:dyDescent="0.25">
      <c r="A58" s="4">
        <v>46007</v>
      </c>
      <c r="B58" s="6" t="s">
        <v>272</v>
      </c>
      <c r="C58" s="5"/>
      <c r="D58" s="5">
        <v>244310</v>
      </c>
      <c r="E58" s="38"/>
    </row>
    <row r="59" spans="1:5" x14ac:dyDescent="0.25">
      <c r="A59" s="4">
        <v>46035</v>
      </c>
      <c r="B59" s="6" t="s">
        <v>278</v>
      </c>
      <c r="C59" s="14">
        <v>164475</v>
      </c>
      <c r="D59" s="5"/>
      <c r="E59" s="38"/>
    </row>
    <row r="60" spans="1:5" x14ac:dyDescent="0.25">
      <c r="A60" s="4">
        <v>46036</v>
      </c>
      <c r="B60" s="6" t="s">
        <v>285</v>
      </c>
      <c r="C60" s="5"/>
      <c r="D60" s="5">
        <v>198280</v>
      </c>
      <c r="E60" s="38"/>
    </row>
    <row r="61" spans="1:5" x14ac:dyDescent="0.25">
      <c r="A61" s="4">
        <v>46037</v>
      </c>
      <c r="B61" s="6" t="s">
        <v>286</v>
      </c>
      <c r="C61" s="5"/>
      <c r="D61" s="5">
        <v>27948</v>
      </c>
      <c r="E61" s="38"/>
    </row>
    <row r="62" spans="1:5" x14ac:dyDescent="0.25">
      <c r="A62" s="4">
        <v>46041</v>
      </c>
      <c r="B62" s="6" t="s">
        <v>263</v>
      </c>
      <c r="C62" s="14">
        <v>253368</v>
      </c>
      <c r="D62" s="5"/>
      <c r="E62" s="38"/>
    </row>
    <row r="63" spans="1:5" x14ac:dyDescent="0.25">
      <c r="A63" s="4">
        <v>46041</v>
      </c>
      <c r="B63" s="6" t="s">
        <v>288</v>
      </c>
      <c r="C63" s="14">
        <v>49725</v>
      </c>
      <c r="D63" s="5"/>
      <c r="E63" s="38"/>
    </row>
    <row r="64" spans="1:5" x14ac:dyDescent="0.25">
      <c r="A64" s="4">
        <v>46049</v>
      </c>
      <c r="B64" s="6" t="s">
        <v>311</v>
      </c>
      <c r="C64" s="5"/>
      <c r="D64" s="5">
        <v>46053</v>
      </c>
      <c r="E64" s="38"/>
    </row>
    <row r="65" spans="1:5" x14ac:dyDescent="0.25">
      <c r="A65" s="4">
        <v>46066</v>
      </c>
      <c r="B65" s="6" t="s">
        <v>310</v>
      </c>
      <c r="C65" s="5"/>
      <c r="D65" s="5">
        <v>294272</v>
      </c>
      <c r="E65" s="38"/>
    </row>
    <row r="66" spans="1:5" x14ac:dyDescent="0.25">
      <c r="A66" s="4">
        <v>46078</v>
      </c>
      <c r="B66" s="6" t="s">
        <v>316</v>
      </c>
      <c r="C66" s="14">
        <v>229500</v>
      </c>
      <c r="D66" s="5"/>
      <c r="E66" s="38"/>
    </row>
    <row r="67" spans="1:5" x14ac:dyDescent="0.25">
      <c r="A67" s="4">
        <v>46078</v>
      </c>
      <c r="B67" s="6" t="s">
        <v>317</v>
      </c>
      <c r="C67" s="14">
        <v>151470</v>
      </c>
      <c r="D67" s="5"/>
      <c r="E67" s="38"/>
    </row>
    <row r="68" spans="1:5" x14ac:dyDescent="0.25">
      <c r="A68" s="4">
        <v>46079</v>
      </c>
      <c r="B68" s="6" t="s">
        <v>318</v>
      </c>
      <c r="C68" s="5"/>
      <c r="D68" s="5">
        <v>119875</v>
      </c>
      <c r="E68" s="38"/>
    </row>
    <row r="69" spans="1:5" x14ac:dyDescent="0.25">
      <c r="A69" s="4">
        <v>46087</v>
      </c>
      <c r="B69" s="6" t="s">
        <v>323</v>
      </c>
      <c r="C69" s="14">
        <v>253368</v>
      </c>
      <c r="D69" s="5"/>
      <c r="E69" s="38"/>
    </row>
    <row r="70" spans="1:5" x14ac:dyDescent="0.25">
      <c r="A70" s="4">
        <v>46087</v>
      </c>
      <c r="B70" s="6" t="s">
        <v>324</v>
      </c>
      <c r="C70" s="5"/>
      <c r="D70" s="5">
        <v>28469</v>
      </c>
      <c r="E70" s="38"/>
    </row>
    <row r="71" spans="1:5" x14ac:dyDescent="0.25">
      <c r="A71" s="4">
        <v>46093</v>
      </c>
      <c r="B71" s="6" t="s">
        <v>326</v>
      </c>
      <c r="C71" s="5"/>
      <c r="D71" s="5">
        <v>235090</v>
      </c>
      <c r="E71" s="38"/>
    </row>
    <row r="72" spans="1:5" x14ac:dyDescent="0.25">
      <c r="A72" s="4">
        <v>46121</v>
      </c>
      <c r="B72" s="6" t="s">
        <v>344</v>
      </c>
      <c r="C72" s="5"/>
      <c r="D72" s="5">
        <v>51233</v>
      </c>
      <c r="E72" s="38"/>
    </row>
    <row r="73" spans="1:5" x14ac:dyDescent="0.25">
      <c r="A73" s="4">
        <v>46127</v>
      </c>
      <c r="B73" s="6" t="s">
        <v>348</v>
      </c>
      <c r="C73" s="5"/>
      <c r="D73" s="5">
        <v>87300</v>
      </c>
      <c r="E73" s="38"/>
    </row>
    <row r="74" spans="1:5" x14ac:dyDescent="0.25">
      <c r="A74" s="4">
        <v>46130</v>
      </c>
      <c r="B74" s="6" t="s">
        <v>316</v>
      </c>
      <c r="C74" s="14">
        <v>229500</v>
      </c>
      <c r="D74" s="5"/>
      <c r="E74" s="38"/>
    </row>
    <row r="75" spans="1:5" x14ac:dyDescent="0.25">
      <c r="A75" s="4">
        <v>46147</v>
      </c>
      <c r="B75" s="6" t="s">
        <v>366</v>
      </c>
      <c r="C75" s="14">
        <v>47430</v>
      </c>
      <c r="D75" s="5"/>
      <c r="E75" s="38"/>
    </row>
    <row r="76" spans="1:5" x14ac:dyDescent="0.25">
      <c r="A76" s="4">
        <v>46150</v>
      </c>
      <c r="B76" s="6" t="s">
        <v>367</v>
      </c>
      <c r="C76" s="14">
        <v>275400</v>
      </c>
      <c r="D76" s="5"/>
      <c r="E76" s="38"/>
    </row>
    <row r="77" spans="1:5" x14ac:dyDescent="0.25">
      <c r="A77" s="4">
        <v>46155</v>
      </c>
      <c r="B77" s="6" t="s">
        <v>368</v>
      </c>
      <c r="C77" s="5"/>
      <c r="D77" s="5">
        <v>301577</v>
      </c>
      <c r="E77" s="38"/>
    </row>
    <row r="78" spans="1:5" x14ac:dyDescent="0.25">
      <c r="A78" s="4" t="s">
        <v>384</v>
      </c>
      <c r="B78" s="6" t="s">
        <v>385</v>
      </c>
      <c r="C78" s="5"/>
      <c r="D78" s="5">
        <v>160040</v>
      </c>
      <c r="E78" s="38"/>
    </row>
    <row r="79" spans="1:5" x14ac:dyDescent="0.25">
      <c r="A79" s="4"/>
      <c r="B79" s="6"/>
      <c r="C79" s="5"/>
      <c r="D79" s="5"/>
      <c r="E79" s="38"/>
    </row>
    <row r="80" spans="1:5" x14ac:dyDescent="0.25">
      <c r="A80" s="4"/>
      <c r="B80" s="6"/>
      <c r="C80" s="5"/>
      <c r="D80" s="5"/>
      <c r="E80" s="38"/>
    </row>
    <row r="81" spans="1:5" x14ac:dyDescent="0.25">
      <c r="A81" s="4"/>
      <c r="B81" s="6"/>
      <c r="C81" s="5"/>
      <c r="D81" s="5"/>
      <c r="E81" s="38"/>
    </row>
    <row r="82" spans="1:5" x14ac:dyDescent="0.25">
      <c r="A82" s="4"/>
      <c r="B82" s="6"/>
      <c r="C82" s="5"/>
      <c r="D82" s="5"/>
      <c r="E82" s="38"/>
    </row>
    <row r="83" spans="1:5" x14ac:dyDescent="0.25">
      <c r="A83" s="4"/>
      <c r="B83" s="3"/>
      <c r="C83" s="5"/>
      <c r="D83" s="5"/>
      <c r="E83" s="38"/>
    </row>
    <row r="84" spans="1:5" x14ac:dyDescent="0.25">
      <c r="A84" s="9" t="s">
        <v>10</v>
      </c>
      <c r="B84" s="6"/>
      <c r="C84" s="10">
        <f>SUM(C3:C83)</f>
        <v>6147038</v>
      </c>
      <c r="D84" s="10">
        <f>SUM(D3:D83)</f>
        <v>5130556</v>
      </c>
      <c r="E84" s="39">
        <f>+C84-D84</f>
        <v>1016482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Umair</vt:lpstr>
      <vt:lpstr>Atif</vt:lpstr>
      <vt:lpstr>NJ Nutraceuticals Purchases</vt:lpstr>
      <vt:lpstr>Data Distributor</vt:lpstr>
      <vt:lpstr>Hassan Enterprises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Zubair</dc:creator>
  <cp:lastModifiedBy>Talha Zubair</cp:lastModifiedBy>
  <dcterms:created xsi:type="dcterms:W3CDTF">2024-11-17T08:09:23Z</dcterms:created>
  <dcterms:modified xsi:type="dcterms:W3CDTF">2026-06-19T11:03:11Z</dcterms:modified>
</cp:coreProperties>
</file>